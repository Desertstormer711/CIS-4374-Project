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4d0fa0765c4a59e3/Documents/"/>
    </mc:Choice>
  </mc:AlternateContent>
  <xr:revisionPtr revIDLastSave="868" documentId="8_{6705B8A0-0F22-4DDB-9C04-BE8D60983E46}" xr6:coauthVersionLast="47" xr6:coauthVersionMax="47" xr10:uidLastSave="{992A4C42-FE03-4AD7-A8BC-DFCF8F2E6C1C}"/>
  <bookViews>
    <workbookView xWindow="-120" yWindow="-120" windowWidth="20730" windowHeight="11040" activeTab="1" xr2:uid="{B23AEF2D-7352-4AB1-8BDE-E120F60F350C}"/>
  </bookViews>
  <sheets>
    <sheet name="Risk Register" sheetId="1" r:id="rId1"/>
    <sheet name="Roles and Resources" sheetId="3" r:id="rId2"/>
    <sheet name="Resource and Cost Plan" sheetId="4" r:id="rId3"/>
    <sheet name="RACI Matrix"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2" i="4" l="1"/>
  <c r="F11" i="4"/>
  <c r="F10" i="4"/>
  <c r="F2" i="3"/>
  <c r="F36" i="3" s="1"/>
  <c r="F3" i="3"/>
  <c r="F4" i="3"/>
  <c r="F5" i="3"/>
  <c r="F6" i="3"/>
  <c r="F7" i="3"/>
  <c r="F8" i="3"/>
  <c r="F9" i="3"/>
  <c r="F10" i="3"/>
  <c r="F11" i="3"/>
  <c r="F12" i="3"/>
  <c r="F13" i="3"/>
  <c r="F14" i="3"/>
  <c r="H14" i="3" s="1"/>
  <c r="F5" i="4" s="1"/>
  <c r="D5" i="4" s="1"/>
  <c r="F15" i="3"/>
  <c r="F16" i="3"/>
  <c r="F17" i="3"/>
  <c r="F18" i="3"/>
  <c r="F19" i="3"/>
  <c r="F20" i="3"/>
  <c r="F21" i="3"/>
  <c r="F22" i="3"/>
  <c r="F23" i="3"/>
  <c r="F24" i="3"/>
  <c r="F25" i="3"/>
  <c r="F26" i="3"/>
  <c r="F27" i="3"/>
  <c r="F28" i="3"/>
  <c r="F29" i="3"/>
  <c r="F30" i="3"/>
  <c r="H35" i="3" s="1"/>
  <c r="F9" i="4" s="1"/>
  <c r="D9" i="4" s="1"/>
  <c r="F31" i="3"/>
  <c r="F32" i="3"/>
  <c r="F33" i="3"/>
  <c r="F34" i="3"/>
  <c r="F35" i="3"/>
  <c r="H8" i="3" l="1"/>
  <c r="F3" i="4" s="1"/>
  <c r="D3" i="4" s="1"/>
  <c r="H13" i="3"/>
  <c r="F4" i="4" s="1"/>
  <c r="D4" i="4" s="1"/>
  <c r="H24" i="3"/>
  <c r="F7" i="4" s="1"/>
  <c r="D7" i="4" s="1"/>
  <c r="H29" i="3"/>
  <c r="F8" i="4" s="1"/>
  <c r="D8" i="4" s="1"/>
  <c r="H19" i="3"/>
  <c r="F6" i="4" s="1"/>
  <c r="D6" i="4" s="1"/>
  <c r="H3" i="3"/>
  <c r="H36" i="3" l="1"/>
  <c r="F2" i="4"/>
  <c r="F13" i="4" l="1"/>
  <c r="D2" i="4"/>
</calcChain>
</file>

<file path=xl/sharedStrings.xml><?xml version="1.0" encoding="utf-8"?>
<sst xmlns="http://schemas.openxmlformats.org/spreadsheetml/2006/main" count="326" uniqueCount="186">
  <si>
    <t>ID #</t>
  </si>
  <si>
    <t>Title</t>
  </si>
  <si>
    <t>Description</t>
  </si>
  <si>
    <t>Probability</t>
  </si>
  <si>
    <t>Impact</t>
  </si>
  <si>
    <t>Owner</t>
  </si>
  <si>
    <t>Response Strategy</t>
  </si>
  <si>
    <t>Status</t>
  </si>
  <si>
    <t>Active</t>
  </si>
  <si>
    <t>Category</t>
  </si>
  <si>
    <t>Technical</t>
  </si>
  <si>
    <t>Security vulnerabities</t>
  </si>
  <si>
    <t>Inter-system integration issues</t>
  </si>
  <si>
    <t>Schedule</t>
  </si>
  <si>
    <t>Inaccurate timeline estimates</t>
  </si>
  <si>
    <t>Inadequate delay buffers</t>
  </si>
  <si>
    <t>Bottlenecks</t>
  </si>
  <si>
    <t>Budget cuts</t>
  </si>
  <si>
    <t>Financial</t>
  </si>
  <si>
    <t>Poor team communication</t>
  </si>
  <si>
    <t>Inadequate stakeholder engagement</t>
  </si>
  <si>
    <t>People</t>
  </si>
  <si>
    <t>Team members skill gaps</t>
  </si>
  <si>
    <t>The project timeline was built on guesses rather than past data and experiences, so the estimated timeline will be difficult to fulfill due to difference in the planned and actual timelines</t>
  </si>
  <si>
    <t>Weak security that exposes the project and company to cyberthreats like data breaches and ransomware attacks</t>
  </si>
  <si>
    <t>Poor architechtural planning</t>
  </si>
  <si>
    <t>The architecture of the project was not properly planned out so the project becomes inefficient, prone to failure, and hard to implement</t>
  </si>
  <si>
    <t>The linking of multiple different platforms is challenging and can cause delays or slow work down</t>
  </si>
  <si>
    <t>Not enough time was given inbetween tasks to allow a cushion for delays or undershot timeline estimates</t>
  </si>
  <si>
    <t>A workflow that other flows are dependent on the completion of before they can begin is stalled or stopped all together, slowing project progress in more than one area</t>
  </si>
  <si>
    <t>Loss of funding for the project</t>
  </si>
  <si>
    <t>Teams are unable to properly exchange information in order to complete their work, both within and outside of their teams</t>
  </si>
  <si>
    <t>Team members do not possess the necessary skills to complete their tasks, so work quality is not adequate and the timeline is delayed</t>
  </si>
  <si>
    <t xml:space="preserve">Stakeholders are not fully engaged, so decisions regarding the course of the project </t>
  </si>
  <si>
    <t>High (4)</t>
  </si>
  <si>
    <t>Low (2)</t>
  </si>
  <si>
    <t>Moderate (3)</t>
  </si>
  <si>
    <t>Catastrophic (5)</t>
  </si>
  <si>
    <t>Major (4)</t>
  </si>
  <si>
    <t>Minor (2)</t>
  </si>
  <si>
    <t>Severity</t>
  </si>
  <si>
    <t>EXTREME</t>
  </si>
  <si>
    <t>MEDIUM</t>
  </si>
  <si>
    <t>LOW</t>
  </si>
  <si>
    <t>Chief Security Officer (CSO)</t>
  </si>
  <si>
    <t>Project Design Lead</t>
  </si>
  <si>
    <t>Technical Project Leader</t>
  </si>
  <si>
    <t>Project Mananger (PM)</t>
  </si>
  <si>
    <t>Project Sponsor</t>
  </si>
  <si>
    <t>Establish security as a major priority, as project success is impossible without it. Design and enforce security protocols</t>
  </si>
  <si>
    <t>Design with the intention of system interconnectedness, but keep the components loosely coupled</t>
  </si>
  <si>
    <t>Properly understand the project scope in order to carefully design the architecture of the different systems</t>
  </si>
  <si>
    <t>Gather feedback from the development teams that will be working on the deliverables and incoroporate their estimates into the timeline</t>
  </si>
  <si>
    <t>Gather feedback from the development teams that will be working on the deliverables and add buffers at each milestone</t>
  </si>
  <si>
    <t>Visualize the workflow with a Kanban board (Trello). Identify critical path dependencies. Assign and leverage resource where necessary</t>
  </si>
  <si>
    <t xml:space="preserve">Define project scope to establish a backup plan to move needed funds from the "Nice-to-haves" to the "Must-haves". Draft a MoSCoW-style requirements list </t>
  </si>
  <si>
    <t xml:space="preserve">Have a universal communication method. Establish efficient documentation protocols </t>
  </si>
  <si>
    <t>Have team leads assign roles and tasks based on team members' specialized skills. Pair junior members with senior mentors</t>
  </si>
  <si>
    <t>Record weekly stakeholder update videos. Listen to feedback and take action based off it</t>
  </si>
  <si>
    <t>Name</t>
  </si>
  <si>
    <t>FTE %</t>
  </si>
  <si>
    <t>Estimated Hours</t>
  </si>
  <si>
    <t>Hourly Rate</t>
  </si>
  <si>
    <t>Cost</t>
  </si>
  <si>
    <t>Total</t>
  </si>
  <si>
    <t>Roles</t>
  </si>
  <si>
    <t>Project Manager</t>
  </si>
  <si>
    <t>Tony</t>
  </si>
  <si>
    <t>Lead System Archeitect</t>
  </si>
  <si>
    <t>Senior UI/UX Lead</t>
  </si>
  <si>
    <t>Senior Mobile Developer</t>
  </si>
  <si>
    <t>Mobile Developer</t>
  </si>
  <si>
    <t>Lead Mobile Developer</t>
  </si>
  <si>
    <t>Lead Web Developer</t>
  </si>
  <si>
    <t>Senior Frontend Developer</t>
  </si>
  <si>
    <t>Frontend Developer</t>
  </si>
  <si>
    <t>UI/UX Developer</t>
  </si>
  <si>
    <t>Backend Lead Developer</t>
  </si>
  <si>
    <t>Senior Backend Developer</t>
  </si>
  <si>
    <t>Backend Developer</t>
  </si>
  <si>
    <t>Database Administrator</t>
  </si>
  <si>
    <t>Cloud Infrastructure Engineer</t>
  </si>
  <si>
    <t>Geographic Information System Integration Lead</t>
  </si>
  <si>
    <t>Geographic Information System Analyst</t>
  </si>
  <si>
    <t>Geographic Information System Technician</t>
  </si>
  <si>
    <t>Spatial Data Engineer</t>
  </si>
  <si>
    <t>Cartographer</t>
  </si>
  <si>
    <t>Head of Payments (Payments Team Lead)</t>
  </si>
  <si>
    <t>Payments Intergration Engineer</t>
  </si>
  <si>
    <t>Payments Security Engineer</t>
  </si>
  <si>
    <t>Payments Operations Specialist</t>
  </si>
  <si>
    <t>Fraud and Risk Manager</t>
  </si>
  <si>
    <t>QA Lead</t>
  </si>
  <si>
    <t>QA Test Manager</t>
  </si>
  <si>
    <t>QA Engineer</t>
  </si>
  <si>
    <t>QA Test Analyst</t>
  </si>
  <si>
    <t>QA Tester</t>
  </si>
  <si>
    <t>Nico</t>
  </si>
  <si>
    <t>Kevin</t>
  </si>
  <si>
    <t>Tyler</t>
  </si>
  <si>
    <t>Casey</t>
  </si>
  <si>
    <t>Amy</t>
  </si>
  <si>
    <t>Sophia</t>
  </si>
  <si>
    <t>Hui</t>
  </si>
  <si>
    <t>Irianna</t>
  </si>
  <si>
    <t>Evelyn</t>
  </si>
  <si>
    <t>Caitlyn</t>
  </si>
  <si>
    <t>Violet</t>
  </si>
  <si>
    <t>Tyrone</t>
  </si>
  <si>
    <t>Mikaela</t>
  </si>
  <si>
    <t>Jeffrey</t>
  </si>
  <si>
    <t>Sophie</t>
  </si>
  <si>
    <t>Lando</t>
  </si>
  <si>
    <t>Franklin</t>
  </si>
  <si>
    <t>Leon</t>
  </si>
  <si>
    <t>Taylor</t>
  </si>
  <si>
    <t>Kim</t>
  </si>
  <si>
    <t>Cody</t>
  </si>
  <si>
    <t>Carlos</t>
  </si>
  <si>
    <t>Jose</t>
  </si>
  <si>
    <t>Franchesca</t>
  </si>
  <si>
    <t>Luca</t>
  </si>
  <si>
    <t>Sergei</t>
  </si>
  <si>
    <t>Nathan</t>
  </si>
  <si>
    <t>Marcus</t>
  </si>
  <si>
    <t>Nicole</t>
  </si>
  <si>
    <t>Thomas</t>
  </si>
  <si>
    <t>Benny</t>
  </si>
  <si>
    <t>Silvio</t>
  </si>
  <si>
    <t>Colin</t>
  </si>
  <si>
    <t>Item</t>
  </si>
  <si>
    <t>Quantity/Months</t>
  </si>
  <si>
    <t>Unit Cost</t>
  </si>
  <si>
    <t>Duration (Months)</t>
  </si>
  <si>
    <t>Notes</t>
  </si>
  <si>
    <t>Mobile Application Team Pay</t>
  </si>
  <si>
    <t>Web Application Team Pay</t>
  </si>
  <si>
    <t>Mapping &amp; Location Services Team Pay</t>
  </si>
  <si>
    <t>Backend/API Team Pay</t>
  </si>
  <si>
    <t>Labor</t>
  </si>
  <si>
    <t>Payment Integration Team</t>
  </si>
  <si>
    <t>Quality Assurance &amp; and Testing Team</t>
  </si>
  <si>
    <t>Management and Architecture Pay</t>
  </si>
  <si>
    <t>Mobile Team Subtotal:</t>
  </si>
  <si>
    <t>Backend Team Subtotal:</t>
  </si>
  <si>
    <t>Full-Stack Developer (Flexible Assignment)</t>
  </si>
  <si>
    <t>Web Team Subtotal:</t>
  </si>
  <si>
    <t>Full-Stack Subtotal:</t>
  </si>
  <si>
    <t>Mapping and Location Services Team Subtotal:</t>
  </si>
  <si>
    <t>Payment Team Subtotal:</t>
  </si>
  <si>
    <t>QA and Testing Team Subtotal:</t>
  </si>
  <si>
    <t>Management and Architecture Subtotal:</t>
  </si>
  <si>
    <t>Fullstack Team Pay</t>
  </si>
  <si>
    <t>Cloud Hosting</t>
  </si>
  <si>
    <t>Infrastructure</t>
  </si>
  <si>
    <t>Licenses</t>
  </si>
  <si>
    <t>Tools</t>
  </si>
  <si>
    <t>Third-Party APIs</t>
  </si>
  <si>
    <t>Contingency</t>
  </si>
  <si>
    <t>Reserver</t>
  </si>
  <si>
    <t>Applied to Total</t>
  </si>
  <si>
    <t>N/A</t>
  </si>
  <si>
    <t>Task/Role</t>
  </si>
  <si>
    <t>PM</t>
  </si>
  <si>
    <t>Architect</t>
  </si>
  <si>
    <t>Mobile Team</t>
  </si>
  <si>
    <t>Web Team</t>
  </si>
  <si>
    <t>Full-Stack</t>
  </si>
  <si>
    <t>Backend</t>
  </si>
  <si>
    <t>Mapping and Location Services</t>
  </si>
  <si>
    <t>Payment</t>
  </si>
  <si>
    <t>QA and Testing</t>
  </si>
  <si>
    <t>System Architecture Design</t>
  </si>
  <si>
    <t>A</t>
  </si>
  <si>
    <t>R</t>
  </si>
  <si>
    <t>C</t>
  </si>
  <si>
    <t>I</t>
  </si>
  <si>
    <t>Cloud Hosting &amp; Infrastructure Setup</t>
  </si>
  <si>
    <t>UI/UX Design Wireframes</t>
  </si>
  <si>
    <t>Mobile App Implementation</t>
  </si>
  <si>
    <t>Web Frontend Implementation</t>
  </si>
  <si>
    <t>GIS Mapping Integration</t>
  </si>
  <si>
    <t>Payment Gateway Integration</t>
  </si>
  <si>
    <t>Fraud &amp; Risk Rules Definition</t>
  </si>
  <si>
    <t>End-to-End QA Testing Cycles</t>
  </si>
  <si>
    <t>Backend Service &amp; API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</si>
</sst>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71" formatCode="0.0"/>
    <numFmt numFmtId="172" formatCode="&quot;$&quot;#,##0.00"/>
    <numFmt numFmtId="174" formatCode="0&quot; hours&quot;"/>
    <numFmt numFmtId="177" formatCode="&quot;$&quot;0&quot;/month&quot;"/>
  </numFmts>
  <fonts count="3" x14ac:knownFonts="1">
    <font>
      <sz val="11"/>
      <color theme="1"/>
      <name val="Aptos Narrow"/>
      <family val="2"/>
      <scheme val="minor"/>
    </font>
    <font>
      <sz val="18"/>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3" tint="0.249977111117893"/>
        <bgColor indexed="64"/>
      </patternFill>
    </fill>
  </fills>
  <borders count="21">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thin">
        <color theme="1" tint="0.249977111117893"/>
      </left>
      <right style="thin">
        <color theme="1" tint="0.249977111117893"/>
      </right>
      <top style="thin">
        <color theme="1" tint="0.249977111117893"/>
      </top>
      <bottom style="thin">
        <color theme="1" tint="0.34998626667073579"/>
      </bottom>
      <diagonal/>
    </border>
    <border>
      <left style="thin">
        <color theme="1" tint="0.249977111117893"/>
      </left>
      <right style="thin">
        <color theme="1" tint="0.249977111117893"/>
      </right>
      <top/>
      <bottom style="thin">
        <color theme="1" tint="0.249977111117893"/>
      </bottom>
      <diagonal/>
    </border>
    <border>
      <left style="thin">
        <color theme="1" tint="0.249977111117893"/>
      </left>
      <right style="thin">
        <color theme="1" tint="0.34998626667073579"/>
      </right>
      <top/>
      <bottom style="thin">
        <color theme="1" tint="0.249977111117893"/>
      </bottom>
      <diagonal/>
    </border>
    <border>
      <left/>
      <right style="thin">
        <color theme="1" tint="0.249977111117893"/>
      </right>
      <top/>
      <bottom style="thin">
        <color theme="1" tint="0.249977111117893"/>
      </bottom>
      <diagonal/>
    </border>
    <border>
      <left style="medium">
        <color theme="1" tint="0.34998626667073579"/>
      </left>
      <right style="thin">
        <color theme="1" tint="0.249977111117893"/>
      </right>
      <top style="medium">
        <color theme="1" tint="0.34998626667073579"/>
      </top>
      <bottom style="medium">
        <color theme="1" tint="0.34998626667073579"/>
      </bottom>
      <diagonal/>
    </border>
    <border>
      <left style="thin">
        <color theme="1" tint="0.249977111117893"/>
      </left>
      <right style="thin">
        <color theme="1" tint="0.249977111117893"/>
      </right>
      <top style="medium">
        <color theme="1" tint="0.34998626667073579"/>
      </top>
      <bottom style="medium">
        <color theme="1" tint="0.34998626667073579"/>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style="thin">
        <color theme="1"/>
      </right>
      <top/>
      <bottom style="thin">
        <color theme="1"/>
      </bottom>
      <diagonal/>
    </border>
    <border>
      <left style="thin">
        <color theme="1"/>
      </left>
      <right style="thin">
        <color theme="1"/>
      </right>
      <top style="thin">
        <color theme="1"/>
      </top>
      <bottom style="thin">
        <color indexed="64"/>
      </bottom>
      <diagonal/>
    </border>
    <border>
      <left style="thin">
        <color theme="1"/>
      </left>
      <right style="thin">
        <color theme="1"/>
      </right>
      <top/>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1"/>
      </left>
      <right style="thin">
        <color theme="1"/>
      </right>
      <top/>
      <bottom style="thin">
        <color theme="1"/>
      </bottom>
      <diagonal/>
    </border>
  </borders>
  <cellStyleXfs count="2">
    <xf numFmtId="0" fontId="0" fillId="0" borderId="0"/>
    <xf numFmtId="44" fontId="2" fillId="0" borderId="0" applyFont="0" applyFill="0" applyBorder="0" applyAlignment="0" applyProtection="0"/>
  </cellStyleXfs>
  <cellXfs count="69">
    <xf numFmtId="0" fontId="0" fillId="0" borderId="0" xfId="0"/>
    <xf numFmtId="0" fontId="0" fillId="0" borderId="1" xfId="0" applyBorder="1" applyAlignment="1">
      <alignment vertical="top"/>
    </xf>
    <xf numFmtId="0" fontId="0" fillId="0" borderId="1" xfId="0" applyBorder="1" applyAlignment="1">
      <alignment vertical="top" wrapText="1"/>
    </xf>
    <xf numFmtId="0" fontId="0" fillId="0" borderId="1" xfId="0" applyBorder="1"/>
    <xf numFmtId="0" fontId="0" fillId="0" borderId="3" xfId="0" applyBorder="1" applyAlignment="1">
      <alignment vertical="top" wrapText="1"/>
    </xf>
    <xf numFmtId="0" fontId="0" fillId="0" borderId="2" xfId="0" applyBorder="1" applyAlignment="1">
      <alignment vertical="top" wrapText="1"/>
    </xf>
    <xf numFmtId="0" fontId="0" fillId="0" borderId="3" xfId="0" applyBorder="1" applyAlignment="1">
      <alignment vertical="top"/>
    </xf>
    <xf numFmtId="0" fontId="0" fillId="0" borderId="4" xfId="0" applyBorder="1" applyAlignment="1">
      <alignment vertical="top"/>
    </xf>
    <xf numFmtId="0" fontId="0" fillId="0" borderId="5" xfId="0" applyBorder="1" applyAlignment="1">
      <alignment vertical="top" wrapText="1"/>
    </xf>
    <xf numFmtId="0" fontId="0" fillId="0" borderId="3" xfId="0" applyBorder="1"/>
    <xf numFmtId="0" fontId="1" fillId="0" borderId="6" xfId="0" applyFont="1" applyBorder="1" applyAlignment="1">
      <alignment vertical="top"/>
    </xf>
    <xf numFmtId="0" fontId="1" fillId="0" borderId="7" xfId="0" applyFont="1" applyBorder="1" applyAlignment="1">
      <alignment vertical="top"/>
    </xf>
    <xf numFmtId="0" fontId="1" fillId="0" borderId="7" xfId="0" applyFont="1" applyBorder="1" applyAlignment="1">
      <alignment vertical="top" wrapText="1"/>
    </xf>
    <xf numFmtId="0" fontId="1" fillId="0" borderId="7" xfId="0" applyFont="1" applyBorder="1"/>
    <xf numFmtId="0" fontId="0" fillId="0" borderId="11" xfId="0" applyBorder="1"/>
    <xf numFmtId="0" fontId="0" fillId="0" borderId="12" xfId="0" applyBorder="1"/>
    <xf numFmtId="0" fontId="0" fillId="0" borderId="8" xfId="0" applyBorder="1"/>
    <xf numFmtId="0" fontId="0" fillId="0" borderId="15" xfId="0" applyBorder="1"/>
    <xf numFmtId="0" fontId="0" fillId="0" borderId="16" xfId="0" applyBorder="1"/>
    <xf numFmtId="0" fontId="0" fillId="0" borderId="17" xfId="0" applyBorder="1"/>
    <xf numFmtId="0" fontId="0" fillId="0" borderId="18" xfId="0" applyBorder="1"/>
    <xf numFmtId="44" fontId="0" fillId="0" borderId="8" xfId="1" applyFont="1" applyBorder="1"/>
    <xf numFmtId="171" fontId="0" fillId="0" borderId="8" xfId="1" applyNumberFormat="1" applyFont="1" applyBorder="1"/>
    <xf numFmtId="171" fontId="0" fillId="0" borderId="8" xfId="0" applyNumberFormat="1" applyBorder="1"/>
    <xf numFmtId="171" fontId="0" fillId="0" borderId="17" xfId="0" applyNumberFormat="1" applyBorder="1"/>
    <xf numFmtId="171" fontId="0" fillId="0" borderId="0" xfId="0" applyNumberFormat="1"/>
    <xf numFmtId="0" fontId="0" fillId="0" borderId="16" xfId="0" applyBorder="1" applyAlignment="1">
      <alignment vertical="top" wrapText="1"/>
    </xf>
    <xf numFmtId="0" fontId="0" fillId="0" borderId="16" xfId="0" applyBorder="1" applyAlignment="1">
      <alignment vertical="top"/>
    </xf>
    <xf numFmtId="0" fontId="0" fillId="0" borderId="0" xfId="0" applyAlignment="1">
      <alignment vertical="top"/>
    </xf>
    <xf numFmtId="0" fontId="0" fillId="0" borderId="16" xfId="0" applyBorder="1" applyAlignment="1">
      <alignment horizontal="left" vertical="top"/>
    </xf>
    <xf numFmtId="172" fontId="0" fillId="0" borderId="8" xfId="0" applyNumberFormat="1" applyBorder="1"/>
    <xf numFmtId="172" fontId="0" fillId="0" borderId="0" xfId="0" applyNumberFormat="1" applyBorder="1"/>
    <xf numFmtId="172" fontId="0" fillId="0" borderId="17" xfId="0" applyNumberFormat="1" applyBorder="1"/>
    <xf numFmtId="172" fontId="0" fillId="0" borderId="18" xfId="0" applyNumberFormat="1" applyBorder="1"/>
    <xf numFmtId="172" fontId="0" fillId="0" borderId="16" xfId="0" applyNumberFormat="1" applyBorder="1"/>
    <xf numFmtId="172" fontId="0" fillId="0" borderId="0" xfId="0" applyNumberFormat="1"/>
    <xf numFmtId="172" fontId="0" fillId="0" borderId="17" xfId="0" applyNumberFormat="1" applyBorder="1" applyAlignment="1">
      <alignment vertical="top"/>
    </xf>
    <xf numFmtId="172" fontId="0" fillId="0" borderId="0" xfId="0" applyNumberFormat="1" applyBorder="1" applyAlignment="1">
      <alignment vertical="top"/>
    </xf>
    <xf numFmtId="171" fontId="0" fillId="0" borderId="8" xfId="1" applyNumberFormat="1" applyFont="1" applyBorder="1" applyAlignment="1">
      <alignment vertical="top"/>
    </xf>
    <xf numFmtId="172" fontId="0" fillId="0" borderId="8" xfId="0" applyNumberFormat="1" applyBorder="1" applyAlignment="1">
      <alignment vertical="top"/>
    </xf>
    <xf numFmtId="172" fontId="0" fillId="0" borderId="0" xfId="0" applyNumberFormat="1" applyAlignment="1">
      <alignment vertical="top"/>
    </xf>
    <xf numFmtId="0" fontId="0" fillId="0" borderId="19" xfId="0" applyBorder="1"/>
    <xf numFmtId="0" fontId="0" fillId="2" borderId="14" xfId="0" applyFill="1" applyBorder="1"/>
    <xf numFmtId="0" fontId="0" fillId="2" borderId="20" xfId="0" applyFill="1" applyBorder="1"/>
    <xf numFmtId="0" fontId="0" fillId="2" borderId="13" xfId="0" applyFill="1" applyBorder="1"/>
    <xf numFmtId="0" fontId="0" fillId="0" borderId="10" xfId="0" applyBorder="1"/>
    <xf numFmtId="0" fontId="0" fillId="0" borderId="9" xfId="0" applyBorder="1"/>
    <xf numFmtId="0" fontId="0" fillId="0" borderId="0" xfId="0" applyAlignment="1">
      <alignment wrapText="1"/>
    </xf>
    <xf numFmtId="0" fontId="0" fillId="0" borderId="0" xfId="0" applyAlignment="1">
      <alignment vertical="top" wrapText="1"/>
    </xf>
    <xf numFmtId="171" fontId="0" fillId="0" borderId="8" xfId="1" applyNumberFormat="1" applyFont="1" applyBorder="1" applyAlignment="1">
      <alignment vertical="top" wrapText="1"/>
    </xf>
    <xf numFmtId="172" fontId="0" fillId="0" borderId="17" xfId="0" applyNumberFormat="1" applyBorder="1" applyAlignment="1">
      <alignment vertical="top" wrapText="1"/>
    </xf>
    <xf numFmtId="172" fontId="0" fillId="0" borderId="0" xfId="0" applyNumberFormat="1" applyBorder="1" applyAlignment="1">
      <alignment vertical="top" wrapText="1"/>
    </xf>
    <xf numFmtId="172" fontId="0" fillId="0" borderId="0" xfId="0" applyNumberFormat="1" applyAlignment="1">
      <alignment vertical="top" wrapText="1"/>
    </xf>
    <xf numFmtId="44" fontId="0" fillId="2" borderId="20" xfId="1" applyFont="1" applyFill="1" applyBorder="1"/>
    <xf numFmtId="44" fontId="0" fillId="0" borderId="0" xfId="1" applyFont="1"/>
    <xf numFmtId="44" fontId="0" fillId="0" borderId="19" xfId="1" applyFont="1" applyBorder="1"/>
    <xf numFmtId="44" fontId="0" fillId="0" borderId="17" xfId="1" applyFont="1" applyBorder="1"/>
    <xf numFmtId="44" fontId="0" fillId="2" borderId="20" xfId="0" applyNumberFormat="1" applyFill="1" applyBorder="1"/>
    <xf numFmtId="44" fontId="0" fillId="0" borderId="8" xfId="0" applyNumberFormat="1" applyBorder="1"/>
    <xf numFmtId="44" fontId="0" fillId="0" borderId="17" xfId="0" applyNumberFormat="1" applyBorder="1"/>
    <xf numFmtId="44" fontId="0" fillId="0" borderId="0" xfId="0" applyNumberFormat="1"/>
    <xf numFmtId="44" fontId="0" fillId="0" borderId="19" xfId="0" applyNumberFormat="1" applyBorder="1"/>
    <xf numFmtId="174" fontId="0" fillId="0" borderId="8" xfId="0" applyNumberFormat="1" applyBorder="1"/>
    <xf numFmtId="177" fontId="0" fillId="0" borderId="17" xfId="0" applyNumberFormat="1" applyBorder="1"/>
    <xf numFmtId="44" fontId="0" fillId="0" borderId="17" xfId="1" applyNumberFormat="1" applyFont="1" applyBorder="1"/>
    <xf numFmtId="10" fontId="0" fillId="0" borderId="17" xfId="0" applyNumberFormat="1" applyBorder="1"/>
    <xf numFmtId="0" fontId="0" fillId="0" borderId="17" xfId="0" applyBorder="1" applyAlignment="1">
      <alignment horizontal="right"/>
    </xf>
    <xf numFmtId="0" fontId="0" fillId="0" borderId="0" xfId="0" applyAlignment="1">
      <alignment horizontal="center" vertical="center" wrapText="1"/>
    </xf>
    <xf numFmtId="0" fontId="0" fillId="0" borderId="0" xfId="0" applyAlignment="1">
      <alignment horizontal="center" vertical="center"/>
    </xf>
  </cellXfs>
  <cellStyles count="2">
    <cellStyle name="Currency" xfId="1" builtinId="4"/>
    <cellStyle name="Normal" xfId="0" builtinId="0"/>
  </cellStyles>
  <dxfs count="40">
    <dxf>
      <numFmt numFmtId="172" formatCode="&quot;$&quot;#,##0.00"/>
      <border diagonalUp="0" diagonalDown="0" outline="0">
        <left/>
        <right/>
        <top/>
        <bottom/>
      </border>
    </dxf>
    <dxf>
      <numFmt numFmtId="172" formatCode="&quot;$&quot;#,##0.00"/>
      <border diagonalUp="0" diagonalDown="0" outline="0">
        <left style="thin">
          <color theme="1"/>
        </left>
        <right style="thin">
          <color theme="1"/>
        </right>
        <top style="thin">
          <color theme="1"/>
        </top>
        <bottom/>
      </border>
    </dxf>
    <dxf>
      <border diagonalUp="0" diagonalDown="0" outline="0">
        <left style="thin">
          <color theme="1"/>
        </left>
        <right style="thin">
          <color theme="1"/>
        </right>
        <top/>
        <bottom/>
      </border>
    </dxf>
    <dxf>
      <numFmt numFmtId="171" formatCode="0.0"/>
      <border diagonalUp="0" diagonalDown="0" outline="0">
        <left style="thin">
          <color theme="1"/>
        </left>
        <right style="thin">
          <color theme="1"/>
        </right>
        <top style="thin">
          <color theme="1"/>
        </top>
        <bottom/>
      </border>
    </dxf>
    <dxf>
      <border diagonalUp="0" diagonalDown="0" outline="0">
        <left style="thin">
          <color theme="1"/>
        </left>
        <right style="thin">
          <color theme="1"/>
        </right>
        <top/>
        <bottom/>
      </border>
    </dxf>
    <dxf>
      <border diagonalUp="0" diagonalDown="0" outline="0">
        <left style="thin">
          <color theme="1"/>
        </left>
        <right style="thin">
          <color theme="1"/>
        </right>
        <top/>
        <bottom/>
      </border>
    </dxf>
    <dxf>
      <fill>
        <patternFill>
          <bgColor rgb="FFC00000"/>
        </patternFill>
      </fill>
    </dxf>
    <dxf>
      <fill>
        <patternFill>
          <bgColor rgb="FFFFFF00"/>
        </patternFill>
      </fill>
    </dxf>
    <dxf>
      <fill>
        <patternFill>
          <bgColor rgb="FFFF0000"/>
        </patternFill>
      </fill>
    </dxf>
    <dxf>
      <fill>
        <patternFill>
          <bgColor rgb="FF92D050"/>
        </patternFill>
      </fill>
    </dxf>
    <dxf>
      <numFmt numFmtId="172" formatCode="&quot;$&quot;#,##0.00"/>
    </dxf>
    <dxf>
      <numFmt numFmtId="172" formatCode="&quot;$&quot;#,##0.00"/>
      <border diagonalUp="0" diagonalDown="0" outline="0">
        <left style="thin">
          <color theme="1"/>
        </left>
        <right style="thin">
          <color theme="1"/>
        </right>
        <top style="thin">
          <color theme="1"/>
        </top>
        <bottom style="thin">
          <color theme="1"/>
        </bottom>
      </border>
    </dxf>
    <dxf>
      <border diagonalUp="0" diagonalDown="0">
        <left style="thin">
          <color theme="1"/>
        </left>
        <right style="thin">
          <color theme="1"/>
        </right>
        <top/>
        <bottom/>
        <vertical/>
        <horizontal/>
      </border>
    </dxf>
    <dxf>
      <numFmt numFmtId="171" formatCode="0.0"/>
      <border diagonalUp="0" diagonalDown="0" outline="0">
        <left style="thin">
          <color theme="1"/>
        </left>
        <right style="thin">
          <color theme="1"/>
        </right>
        <top style="thin">
          <color theme="1"/>
        </top>
        <bottom style="thin">
          <color theme="1"/>
        </bottom>
      </border>
    </dxf>
    <dxf>
      <border diagonalUp="0" diagonalDown="0">
        <left style="thin">
          <color theme="1"/>
        </left>
        <right style="thin">
          <color theme="1"/>
        </right>
        <top/>
        <bottom/>
        <vertical/>
        <horizontal/>
      </border>
    </dxf>
    <dxf>
      <border diagonalUp="0" diagonalDown="0">
        <left style="thin">
          <color theme="1"/>
        </left>
        <right style="thin">
          <color theme="1"/>
        </right>
        <top/>
        <bottom/>
        <vertical/>
        <horizontal/>
      </border>
    </dxf>
    <dxf>
      <border diagonalUp="0" diagonalDown="0">
        <left style="thin">
          <color theme="1"/>
        </left>
        <right style="thin">
          <color theme="1"/>
        </right>
        <top style="thin">
          <color theme="1"/>
        </top>
        <bottom style="thin">
          <color theme="1"/>
        </bottom>
      </border>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border diagonalUp="0" diagonalDown="0">
        <left style="thin">
          <color theme="1"/>
        </left>
        <right/>
        <top style="thin">
          <color theme="1"/>
        </top>
        <bottom style="thin">
          <color theme="1"/>
        </bottom>
        <vertical style="thin">
          <color theme="1"/>
        </vertical>
        <horizontal style="thin">
          <color theme="1"/>
        </horizontal>
      </border>
    </dxf>
    <dxf>
      <numFmt numFmtId="34" formatCode="_(&quot;$&quot;* #,##0.00_);_(&quot;$&quot;* \(#,##0.00\);_(&quot;$&quot;* &quot;-&quot;??_);_(@_)"/>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4" formatCode="_(&quot;$&quot;* #,##0.00_);_(&quot;$&quot;* \(#,##0.00\);_(&quot;$&quot;* &quot;-&quot;??_);_(@_)"/>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4" formatCode="_(&quot;$&quot;* #,##0.00_);_(&quot;$&quot;* \(#,##0.00\);_(&quot;$&quot;* &quot;-&quot;??_);_(@_)"/>
      <border diagonalUp="0" diagonalDown="0" outline="0">
        <left style="thin">
          <color theme="1"/>
        </left>
        <right style="thin">
          <color theme="1"/>
        </right>
        <top style="thin">
          <color theme="1"/>
        </top>
        <bottom style="thin">
          <color theme="1"/>
        </bottom>
      </border>
    </dxf>
    <dxf>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right style="thin">
          <color theme="1"/>
        </right>
        <top style="thin">
          <color theme="1"/>
        </top>
        <bottom style="thin">
          <color theme="1"/>
        </bottom>
        <vertical style="thin">
          <color theme="1"/>
        </vertical>
        <horizontal style="thin">
          <color theme="1"/>
        </horizontal>
      </border>
    </dxf>
    <dxf>
      <border>
        <top style="thin">
          <color theme="1"/>
        </top>
      </border>
    </dxf>
    <dxf>
      <border>
        <bottom style="thin">
          <color theme="1"/>
        </bottom>
      </border>
    </dxf>
    <dxf>
      <border diagonalUp="0" diagonalDown="0">
        <left style="thin">
          <color theme="1"/>
        </left>
        <right style="thin">
          <color theme="1"/>
        </right>
        <top style="thin">
          <color theme="1"/>
        </top>
        <bottom style="thin">
          <color theme="1"/>
        </bottom>
      </border>
    </dxf>
    <dxf>
      <fill>
        <patternFill patternType="solid">
          <fgColor indexed="64"/>
          <bgColor theme="3" tint="0.249977111117893"/>
        </patternFill>
      </fill>
      <border diagonalUp="0" diagonalDown="0">
        <left style="thin">
          <color theme="1"/>
        </left>
        <right style="thin">
          <color theme="1"/>
        </right>
        <top/>
        <bottom/>
        <vertical style="thin">
          <color theme="1"/>
        </vertical>
        <horizontal style="thin">
          <color theme="1"/>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106105-7C3C-45F2-95F1-FFBF578D1407}" name="Table1" displayName="Table1" ref="A1:F36" totalsRowCount="1" tableBorderDxfId="16">
  <autoFilter ref="A1:F35" xr:uid="{CB106105-7C3C-45F2-95F1-FFBF578D1407}"/>
  <tableColumns count="6">
    <tableColumn id="1" xr3:uid="{CD998E82-177A-4BBD-A283-08A67660A108}" name="Roles" totalsRowLabel="Total" dataDxfId="15" totalsRowDxfId="5"/>
    <tableColumn id="2" xr3:uid="{C02CC668-06E3-4714-97C9-9ABCD196FB7A}" name="Name" dataDxfId="14" totalsRowDxfId="4"/>
    <tableColumn id="3" xr3:uid="{99EA7E14-DFC2-4689-A110-FF6D3843F067}" name="FTE %" dataDxfId="13" totalsRowDxfId="3"/>
    <tableColumn id="4" xr3:uid="{697D1CB4-05D5-4C0C-B7EC-0549CD425E3A}" name="Estimated Hours" dataDxfId="12" totalsRowDxfId="2"/>
    <tableColumn id="5" xr3:uid="{3F9170EE-1D3D-41D8-AEF9-59B9D96B3668}" name="Hourly Rate" dataDxfId="11" totalsRowDxfId="1"/>
    <tableColumn id="6" xr3:uid="{C780AB7D-5A6D-4796-B5E0-4C5A9EC824A7}" name="Cost" totalsRowFunction="custom" dataDxfId="10" totalsRowDxfId="0">
      <calculatedColumnFormula>Table1[[#This Row],[Estimated Hours]]*Table1[[#This Row],[Hourly Rate]]</calculatedColumnFormula>
      <totalsRowFormula>SUM(Table1[Cost])</totalsRow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976E85-299B-43BA-B1A8-CCE999DBD16E}" name="Table2" displayName="Table2" ref="A1:G13" totalsRowShown="0" headerRowDxfId="39" headerRowBorderDxfId="37" tableBorderDxfId="38" totalsRowBorderDxfId="36">
  <autoFilter ref="A1:G13" xr:uid="{A2976E85-299B-43BA-B1A8-CCE999DBD16E}"/>
  <tableColumns count="7">
    <tableColumn id="1" xr3:uid="{964D211F-3840-49E1-BA61-C095EB4BFE85}" name="Item" dataDxfId="35"/>
    <tableColumn id="2" xr3:uid="{76CD9070-488F-4492-8425-B4E0E0267FF5}" name="Category" dataDxfId="34"/>
    <tableColumn id="3" xr3:uid="{D0246F21-B590-4A93-8EBF-7111DF67B8FB}" name="Quantity/Months" dataDxfId="33"/>
    <tableColumn id="4" xr3:uid="{88B3EBAA-9C22-4C4F-8537-CA1DAE728E93}" name="Unit Cost" dataDxfId="32" dataCellStyle="Currency">
      <calculatedColumnFormula>Table2[[#This Row],[Total]]/Table2[[#This Row],[Quantity/Months]]</calculatedColumnFormula>
    </tableColumn>
    <tableColumn id="5" xr3:uid="{92C3849B-062F-4E58-9522-A7C2BA0A6D4E}" name="Duration (Months)" dataDxfId="31"/>
    <tableColumn id="6" xr3:uid="{D497627F-AE08-459C-AACA-49B79063216B}" name="Total" dataDxfId="30">
      <calculatedColumnFormula>Table2[[#This Row],[Quantity/Months]]*Table2[[#This Row],[Unit Cost]]*Table2[[#This Row],[Duration (Months)]]</calculatedColumnFormula>
    </tableColumn>
    <tableColumn id="7" xr3:uid="{4993E7D7-A674-407C-AE3E-8F61AF549A1A}" name="Notes" dataDxfId="29"/>
  </tableColumns>
  <tableStyleInfo name="TableStyleMedium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86AF788-2DDD-4A61-A379-8F087D8417B6}" name="Table3" displayName="Table3" ref="A1:J11" totalsRowShown="0" headerRowDxfId="17" dataDxfId="18">
  <autoFilter ref="A1:J11" xr:uid="{686AF788-2DDD-4A61-A379-8F087D8417B6}"/>
  <tableColumns count="10">
    <tableColumn id="1" xr3:uid="{95C23AED-709A-4B2D-B843-0214A2732357}" name="Task/Role" dataDxfId="28"/>
    <tableColumn id="2" xr3:uid="{BACD9415-CD7A-46A7-B68B-901E1B53B858}" name="PM" dataDxfId="27"/>
    <tableColumn id="3" xr3:uid="{275BE04A-97A9-478A-ABDA-D4E5D66DB958}" name="Architect" dataDxfId="26"/>
    <tableColumn id="4" xr3:uid="{C0EAFA30-43A4-4541-B3BF-17844D12D462}" name="Mobile Team" dataDxfId="25"/>
    <tableColumn id="5" xr3:uid="{C0E32FDB-C0D0-4C05-803E-7FAC6771E861}" name="Web Team" dataDxfId="24"/>
    <tableColumn id="6" xr3:uid="{66098E16-4C8F-45F7-A1AB-CF2750BF8018}" name="Full-Stack" dataDxfId="23"/>
    <tableColumn id="7" xr3:uid="{520C7129-5E67-4F4C-8354-D531D0A00D61}" name="Backend" dataDxfId="22"/>
    <tableColumn id="8" xr3:uid="{7EF7453A-CB94-4AA1-937B-3F614D397DAC}" name="Mapping and Location Services" dataDxfId="21"/>
    <tableColumn id="9" xr3:uid="{A515F945-6D10-436A-B33C-488E9575E076}" name="Payment" dataDxfId="20"/>
    <tableColumn id="10" xr3:uid="{F225C47E-1BDF-4FD9-B408-6B6665F0334F}" name="QA and Testing" dataDxfId="19"/>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5AD1D-4930-4906-B610-5EF8CEA2F631}">
  <dimension ref="A1:J11"/>
  <sheetViews>
    <sheetView workbookViewId="0">
      <pane ySplit="1" topLeftCell="A2" activePane="bottomLeft" state="frozen"/>
      <selection pane="bottomLeft" activeCell="I1" sqref="I1"/>
    </sheetView>
  </sheetViews>
  <sheetFormatPr defaultRowHeight="15" x14ac:dyDescent="0.25"/>
  <cols>
    <col min="1" max="1" width="10" style="1" bestFit="1" customWidth="1"/>
    <col min="2" max="2" width="6.5703125" style="1" bestFit="1" customWidth="1"/>
    <col min="3" max="3" width="17.42578125" style="2" bestFit="1" customWidth="1"/>
    <col min="4" max="4" width="13.7109375" style="1" bestFit="1" customWidth="1"/>
    <col min="5" max="5" width="33.5703125" style="2" customWidth="1"/>
    <col min="6" max="6" width="15.85546875" style="1" bestFit="1" customWidth="1"/>
    <col min="7" max="7" width="15.28515625" style="1" bestFit="1" customWidth="1"/>
    <col min="8" max="8" width="12" style="1" bestFit="1" customWidth="1"/>
    <col min="9" max="9" width="24.85546875" style="1" bestFit="1" customWidth="1"/>
    <col min="10" max="10" width="27.140625" style="2" bestFit="1" customWidth="1"/>
    <col min="11" max="16384" width="9.140625" style="3"/>
  </cols>
  <sheetData>
    <row r="1" spans="1:10" s="13" customFormat="1" ht="24.75" thickBot="1" x14ac:dyDescent="0.45">
      <c r="A1" s="10" t="s">
        <v>7</v>
      </c>
      <c r="B1" s="11" t="s">
        <v>0</v>
      </c>
      <c r="C1" s="12" t="s">
        <v>1</v>
      </c>
      <c r="D1" s="11" t="s">
        <v>9</v>
      </c>
      <c r="E1" s="12" t="s">
        <v>2</v>
      </c>
      <c r="F1" s="11" t="s">
        <v>3</v>
      </c>
      <c r="G1" s="11" t="s">
        <v>4</v>
      </c>
      <c r="H1" s="11" t="s">
        <v>40</v>
      </c>
      <c r="I1" s="11" t="s">
        <v>5</v>
      </c>
      <c r="J1" s="12" t="s">
        <v>6</v>
      </c>
    </row>
    <row r="2" spans="1:10" s="9" customFormat="1" ht="75" x14ac:dyDescent="0.25">
      <c r="A2" s="6" t="s">
        <v>8</v>
      </c>
      <c r="B2" s="6">
        <v>1</v>
      </c>
      <c r="C2" s="4" t="s">
        <v>11</v>
      </c>
      <c r="D2" s="7" t="s">
        <v>10</v>
      </c>
      <c r="E2" s="8" t="s">
        <v>24</v>
      </c>
      <c r="F2" s="6" t="s">
        <v>34</v>
      </c>
      <c r="G2" s="6" t="s">
        <v>37</v>
      </c>
      <c r="H2" s="6" t="s">
        <v>41</v>
      </c>
      <c r="I2" s="6" t="s">
        <v>44</v>
      </c>
      <c r="J2" s="4" t="s">
        <v>49</v>
      </c>
    </row>
    <row r="3" spans="1:10" ht="75" x14ac:dyDescent="0.25">
      <c r="A3" s="1" t="s">
        <v>8</v>
      </c>
      <c r="B3" s="1">
        <v>2</v>
      </c>
      <c r="C3" s="2" t="s">
        <v>25</v>
      </c>
      <c r="D3" s="1" t="s">
        <v>10</v>
      </c>
      <c r="E3" s="2" t="s">
        <v>26</v>
      </c>
      <c r="F3" s="1" t="s">
        <v>35</v>
      </c>
      <c r="G3" s="1" t="s">
        <v>38</v>
      </c>
      <c r="H3" s="1" t="s">
        <v>42</v>
      </c>
      <c r="I3" s="1" t="s">
        <v>45</v>
      </c>
      <c r="J3" s="2" t="s">
        <v>51</v>
      </c>
    </row>
    <row r="4" spans="1:10" ht="60" x14ac:dyDescent="0.25">
      <c r="A4" s="1" t="s">
        <v>8</v>
      </c>
      <c r="B4" s="1">
        <v>3</v>
      </c>
      <c r="C4" s="2" t="s">
        <v>12</v>
      </c>
      <c r="D4" s="1" t="s">
        <v>10</v>
      </c>
      <c r="E4" s="5" t="s">
        <v>27</v>
      </c>
      <c r="F4" s="1" t="s">
        <v>36</v>
      </c>
      <c r="G4" s="1" t="s">
        <v>36</v>
      </c>
      <c r="H4" s="1" t="s">
        <v>42</v>
      </c>
      <c r="I4" s="1" t="s">
        <v>46</v>
      </c>
      <c r="J4" s="2" t="s">
        <v>50</v>
      </c>
    </row>
    <row r="5" spans="1:10" ht="90" x14ac:dyDescent="0.25">
      <c r="A5" s="1" t="s">
        <v>8</v>
      </c>
      <c r="B5" s="1">
        <v>4</v>
      </c>
      <c r="C5" s="2" t="s">
        <v>14</v>
      </c>
      <c r="D5" s="1" t="s">
        <v>13</v>
      </c>
      <c r="E5" s="4" t="s">
        <v>23</v>
      </c>
      <c r="F5" s="1" t="s">
        <v>35</v>
      </c>
      <c r="G5" s="1" t="s">
        <v>36</v>
      </c>
      <c r="H5" s="1" t="s">
        <v>42</v>
      </c>
      <c r="I5" s="1" t="s">
        <v>47</v>
      </c>
      <c r="J5" s="2" t="s">
        <v>52</v>
      </c>
    </row>
    <row r="6" spans="1:10" ht="75" x14ac:dyDescent="0.25">
      <c r="A6" s="1" t="s">
        <v>8</v>
      </c>
      <c r="B6" s="1">
        <v>5</v>
      </c>
      <c r="C6" s="2" t="s">
        <v>15</v>
      </c>
      <c r="D6" s="1" t="s">
        <v>13</v>
      </c>
      <c r="E6" s="2" t="s">
        <v>28</v>
      </c>
      <c r="F6" s="1" t="s">
        <v>36</v>
      </c>
      <c r="G6" s="1" t="s">
        <v>39</v>
      </c>
      <c r="H6" s="1" t="s">
        <v>42</v>
      </c>
      <c r="I6" s="1" t="s">
        <v>47</v>
      </c>
      <c r="J6" s="2" t="s">
        <v>53</v>
      </c>
    </row>
    <row r="7" spans="1:10" ht="90" x14ac:dyDescent="0.25">
      <c r="A7" s="1" t="s">
        <v>8</v>
      </c>
      <c r="B7" s="1">
        <v>6</v>
      </c>
      <c r="C7" s="2" t="s">
        <v>16</v>
      </c>
      <c r="D7" s="1" t="s">
        <v>13</v>
      </c>
      <c r="E7" s="2" t="s">
        <v>29</v>
      </c>
      <c r="F7" s="1" t="s">
        <v>36</v>
      </c>
      <c r="G7" s="1" t="s">
        <v>36</v>
      </c>
      <c r="H7" s="1" t="s">
        <v>42</v>
      </c>
      <c r="I7" s="1" t="s">
        <v>47</v>
      </c>
      <c r="J7" s="2" t="s">
        <v>54</v>
      </c>
    </row>
    <row r="8" spans="1:10" ht="90" x14ac:dyDescent="0.25">
      <c r="A8" s="1" t="s">
        <v>8</v>
      </c>
      <c r="B8" s="1">
        <v>7</v>
      </c>
      <c r="C8" s="2" t="s">
        <v>17</v>
      </c>
      <c r="D8" s="1" t="s">
        <v>18</v>
      </c>
      <c r="E8" s="2" t="s">
        <v>30</v>
      </c>
      <c r="F8" s="1" t="s">
        <v>35</v>
      </c>
      <c r="G8" s="1" t="s">
        <v>38</v>
      </c>
      <c r="H8" s="1" t="s">
        <v>42</v>
      </c>
      <c r="I8" s="1" t="s">
        <v>48</v>
      </c>
      <c r="J8" s="2" t="s">
        <v>55</v>
      </c>
    </row>
    <row r="9" spans="1:10" ht="60" x14ac:dyDescent="0.25">
      <c r="A9" s="1" t="s">
        <v>8</v>
      </c>
      <c r="B9" s="1">
        <v>8</v>
      </c>
      <c r="C9" s="2" t="s">
        <v>19</v>
      </c>
      <c r="D9" s="1" t="s">
        <v>21</v>
      </c>
      <c r="E9" s="2" t="s">
        <v>31</v>
      </c>
      <c r="F9" s="1" t="s">
        <v>35</v>
      </c>
      <c r="G9" s="1" t="s">
        <v>39</v>
      </c>
      <c r="H9" s="1" t="s">
        <v>43</v>
      </c>
      <c r="I9" s="1" t="s">
        <v>47</v>
      </c>
      <c r="J9" s="2" t="s">
        <v>56</v>
      </c>
    </row>
    <row r="10" spans="1:10" ht="75" x14ac:dyDescent="0.25">
      <c r="A10" s="1" t="s">
        <v>8</v>
      </c>
      <c r="B10" s="1">
        <v>9</v>
      </c>
      <c r="C10" s="2" t="s">
        <v>22</v>
      </c>
      <c r="D10" s="1" t="s">
        <v>21</v>
      </c>
      <c r="E10" s="2" t="s">
        <v>32</v>
      </c>
      <c r="F10" s="1" t="s">
        <v>35</v>
      </c>
      <c r="G10" s="1" t="s">
        <v>39</v>
      </c>
      <c r="H10" s="1" t="s">
        <v>43</v>
      </c>
      <c r="I10" s="1" t="s">
        <v>47</v>
      </c>
      <c r="J10" s="2" t="s">
        <v>57</v>
      </c>
    </row>
    <row r="11" spans="1:10" ht="60" x14ac:dyDescent="0.25">
      <c r="A11" s="1" t="s">
        <v>8</v>
      </c>
      <c r="B11" s="1">
        <v>10</v>
      </c>
      <c r="C11" s="2" t="s">
        <v>20</v>
      </c>
      <c r="D11" s="1" t="s">
        <v>21</v>
      </c>
      <c r="E11" s="2" t="s">
        <v>33</v>
      </c>
      <c r="F11" s="1" t="s">
        <v>36</v>
      </c>
      <c r="G11" s="1" t="s">
        <v>36</v>
      </c>
      <c r="H11" s="1" t="s">
        <v>42</v>
      </c>
      <c r="I11" s="1" t="s">
        <v>47</v>
      </c>
      <c r="J11" s="2" t="s">
        <v>58</v>
      </c>
    </row>
  </sheetData>
  <conditionalFormatting sqref="H1:H1048576">
    <cfRule type="containsText" dxfId="9" priority="1" operator="containsText" text="Low">
      <formula>NOT(ISERROR(SEARCH("Low",H1)))</formula>
    </cfRule>
    <cfRule type="containsText" dxfId="8" priority="2" operator="containsText" text="High">
      <formula>NOT(ISERROR(SEARCH("High",H1)))</formula>
    </cfRule>
    <cfRule type="containsText" dxfId="7" priority="3" operator="containsText" text="Medium">
      <formula>NOT(ISERROR(SEARCH("Medium",H1)))</formula>
    </cfRule>
    <cfRule type="containsText" dxfId="6" priority="5" operator="containsText" text="Extreme">
      <formula>NOT(ISERROR(SEARCH("Extreme",H1)))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0B934-7064-437A-8FAB-9A2464F52A79}">
  <dimension ref="A1:H37"/>
  <sheetViews>
    <sheetView tabSelected="1" zoomScale="130" zoomScaleNormal="130" workbookViewId="0">
      <selection activeCell="D38" sqref="D38"/>
    </sheetView>
  </sheetViews>
  <sheetFormatPr defaultRowHeight="15" x14ac:dyDescent="0.25"/>
  <cols>
    <col min="1" max="1" width="27.140625" bestFit="1" customWidth="1"/>
    <col min="2" max="2" width="11.28515625" bestFit="1" customWidth="1"/>
    <col min="3" max="3" width="8.42578125" style="25" bestFit="1" customWidth="1"/>
    <col min="4" max="4" width="18.42578125" bestFit="1" customWidth="1"/>
    <col min="5" max="5" width="14" style="35" bestFit="1" customWidth="1"/>
    <col min="6" max="6" width="14" style="35" customWidth="1"/>
    <col min="7" max="7" width="21" customWidth="1"/>
    <col min="8" max="8" width="15.28515625" customWidth="1"/>
  </cols>
  <sheetData>
    <row r="1" spans="1:8" x14ac:dyDescent="0.25">
      <c r="A1" s="16" t="s">
        <v>65</v>
      </c>
      <c r="B1" s="16" t="s">
        <v>59</v>
      </c>
      <c r="C1" s="23" t="s">
        <v>60</v>
      </c>
      <c r="D1" s="16" t="s">
        <v>61</v>
      </c>
      <c r="E1" s="30" t="s">
        <v>62</v>
      </c>
      <c r="F1" s="31" t="s">
        <v>63</v>
      </c>
    </row>
    <row r="2" spans="1:8" x14ac:dyDescent="0.25">
      <c r="A2" s="17" t="s">
        <v>66</v>
      </c>
      <c r="B2" s="17" t="s">
        <v>67</v>
      </c>
      <c r="C2" s="22">
        <v>0.5</v>
      </c>
      <c r="D2" s="17">
        <v>240</v>
      </c>
      <c r="E2" s="30">
        <v>100</v>
      </c>
      <c r="F2" s="31">
        <f>Table1[[#This Row],[Estimated Hours]]*Table1[[#This Row],[Hourly Rate]]</f>
        <v>24000</v>
      </c>
    </row>
    <row r="3" spans="1:8" s="48" customFormat="1" ht="30" x14ac:dyDescent="0.25">
      <c r="A3" s="26" t="s">
        <v>68</v>
      </c>
      <c r="B3" s="26" t="s">
        <v>100</v>
      </c>
      <c r="C3" s="49">
        <v>1</v>
      </c>
      <c r="D3" s="26">
        <v>480</v>
      </c>
      <c r="E3" s="50">
        <v>180</v>
      </c>
      <c r="F3" s="51">
        <f>Table1[[#This Row],[Estimated Hours]]*Table1[[#This Row],[Hourly Rate]]</f>
        <v>86400</v>
      </c>
      <c r="G3" s="48" t="s">
        <v>151</v>
      </c>
      <c r="H3" s="52">
        <f>SUM(F2:F3)</f>
        <v>110400</v>
      </c>
    </row>
    <row r="4" spans="1:8" x14ac:dyDescent="0.25">
      <c r="A4" s="20" t="s">
        <v>72</v>
      </c>
      <c r="B4" s="20" t="s">
        <v>98</v>
      </c>
      <c r="C4" s="22">
        <v>1</v>
      </c>
      <c r="D4" s="18">
        <v>480</v>
      </c>
      <c r="E4" s="33">
        <v>150</v>
      </c>
      <c r="F4" s="33">
        <f>Table1[[#This Row],[Estimated Hours]]*Table1[[#This Row],[Hourly Rate]]</f>
        <v>72000</v>
      </c>
    </row>
    <row r="5" spans="1:8" x14ac:dyDescent="0.25">
      <c r="A5" s="18" t="s">
        <v>70</v>
      </c>
      <c r="B5" s="18" t="s">
        <v>99</v>
      </c>
      <c r="C5" s="22">
        <v>1</v>
      </c>
      <c r="D5" s="18">
        <v>480</v>
      </c>
      <c r="E5" s="34">
        <v>110</v>
      </c>
      <c r="F5" s="31">
        <f>Table1[[#This Row],[Estimated Hours]]*Table1[[#This Row],[Hourly Rate]]</f>
        <v>52800</v>
      </c>
    </row>
    <row r="6" spans="1:8" x14ac:dyDescent="0.25">
      <c r="A6" s="18" t="s">
        <v>70</v>
      </c>
      <c r="B6" s="18" t="s">
        <v>101</v>
      </c>
      <c r="C6" s="22">
        <v>1</v>
      </c>
      <c r="D6" s="18">
        <v>480</v>
      </c>
      <c r="E6" s="32">
        <v>110</v>
      </c>
      <c r="F6" s="31">
        <f>Table1[[#This Row],[Estimated Hours]]*Table1[[#This Row],[Hourly Rate]]</f>
        <v>52800</v>
      </c>
    </row>
    <row r="7" spans="1:8" x14ac:dyDescent="0.25">
      <c r="A7" s="18" t="s">
        <v>71</v>
      </c>
      <c r="B7" s="18" t="s">
        <v>102</v>
      </c>
      <c r="C7" s="22">
        <v>1</v>
      </c>
      <c r="D7" s="18">
        <v>480</v>
      </c>
      <c r="E7" s="32">
        <v>80</v>
      </c>
      <c r="F7" s="31">
        <f>Table1[[#This Row],[Estimated Hours]]*Table1[[#This Row],[Hourly Rate]]</f>
        <v>38400</v>
      </c>
    </row>
    <row r="8" spans="1:8" x14ac:dyDescent="0.25">
      <c r="A8" s="18" t="s">
        <v>71</v>
      </c>
      <c r="B8" s="18" t="s">
        <v>103</v>
      </c>
      <c r="C8" s="22">
        <v>1</v>
      </c>
      <c r="D8" s="18">
        <v>480</v>
      </c>
      <c r="E8" s="32">
        <v>80</v>
      </c>
      <c r="F8" s="31">
        <f>Table1[[#This Row],[Estimated Hours]]*Table1[[#This Row],[Hourly Rate]]</f>
        <v>38400</v>
      </c>
      <c r="G8" t="s">
        <v>143</v>
      </c>
      <c r="H8" s="35">
        <f>SUM(F4:F8)</f>
        <v>254400</v>
      </c>
    </row>
    <row r="9" spans="1:8" x14ac:dyDescent="0.25">
      <c r="A9" s="18" t="s">
        <v>73</v>
      </c>
      <c r="B9" s="18" t="s">
        <v>97</v>
      </c>
      <c r="C9" s="22">
        <v>1</v>
      </c>
      <c r="D9" s="18">
        <v>480</v>
      </c>
      <c r="E9" s="32">
        <v>140</v>
      </c>
      <c r="F9" s="31">
        <f>Table1[[#This Row],[Estimated Hours]]*Table1[[#This Row],[Hourly Rate]]</f>
        <v>67200</v>
      </c>
    </row>
    <row r="10" spans="1:8" x14ac:dyDescent="0.25">
      <c r="A10" s="18" t="s">
        <v>74</v>
      </c>
      <c r="B10" s="18" t="s">
        <v>104</v>
      </c>
      <c r="C10" s="22">
        <v>1</v>
      </c>
      <c r="D10" s="18">
        <v>480</v>
      </c>
      <c r="E10" s="32">
        <v>115</v>
      </c>
      <c r="F10" s="31">
        <f>Table1[[#This Row],[Estimated Hours]]*Table1[[#This Row],[Hourly Rate]]</f>
        <v>55200</v>
      </c>
    </row>
    <row r="11" spans="1:8" x14ac:dyDescent="0.25">
      <c r="A11" s="18" t="s">
        <v>69</v>
      </c>
      <c r="B11" s="18" t="s">
        <v>105</v>
      </c>
      <c r="C11" s="22">
        <v>1</v>
      </c>
      <c r="D11" s="18">
        <v>480</v>
      </c>
      <c r="E11" s="32">
        <v>115</v>
      </c>
      <c r="F11" s="31">
        <f>Table1[[#This Row],[Estimated Hours]]*Table1[[#This Row],[Hourly Rate]]</f>
        <v>55200</v>
      </c>
    </row>
    <row r="12" spans="1:8" x14ac:dyDescent="0.25">
      <c r="A12" s="18" t="s">
        <v>75</v>
      </c>
      <c r="B12" s="18" t="s">
        <v>108</v>
      </c>
      <c r="C12" s="22">
        <v>1</v>
      </c>
      <c r="D12" s="18">
        <v>480</v>
      </c>
      <c r="E12" s="32">
        <v>85</v>
      </c>
      <c r="F12" s="31">
        <f>Table1[[#This Row],[Estimated Hours]]*Table1[[#This Row],[Hourly Rate]]</f>
        <v>40800</v>
      </c>
    </row>
    <row r="13" spans="1:8" x14ac:dyDescent="0.25">
      <c r="A13" s="18" t="s">
        <v>76</v>
      </c>
      <c r="B13" s="18" t="s">
        <v>109</v>
      </c>
      <c r="C13" s="22">
        <v>1</v>
      </c>
      <c r="D13" s="18">
        <v>480</v>
      </c>
      <c r="E13" s="32">
        <v>85</v>
      </c>
      <c r="F13" s="31">
        <f>Table1[[#This Row],[Estimated Hours]]*Table1[[#This Row],[Hourly Rate]]</f>
        <v>40800</v>
      </c>
      <c r="G13" t="s">
        <v>146</v>
      </c>
      <c r="H13" s="35">
        <f>SUM(F9:F13)</f>
        <v>259200</v>
      </c>
    </row>
    <row r="14" spans="1:8" s="28" customFormat="1" ht="30" x14ac:dyDescent="0.25">
      <c r="A14" s="26" t="s">
        <v>145</v>
      </c>
      <c r="B14" s="27" t="s">
        <v>110</v>
      </c>
      <c r="C14" s="38">
        <v>1</v>
      </c>
      <c r="D14" s="27">
        <v>480</v>
      </c>
      <c r="E14" s="36">
        <v>130</v>
      </c>
      <c r="F14" s="37">
        <f>Table1[[#This Row],[Estimated Hours]]*Table1[[#This Row],[Hourly Rate]]</f>
        <v>62400</v>
      </c>
      <c r="G14" s="28" t="s">
        <v>147</v>
      </c>
      <c r="H14" s="40">
        <f>SUM(Table1[[#This Row],[Cost]])</f>
        <v>62400</v>
      </c>
    </row>
    <row r="15" spans="1:8" x14ac:dyDescent="0.25">
      <c r="A15" s="18" t="s">
        <v>77</v>
      </c>
      <c r="B15" s="18" t="s">
        <v>111</v>
      </c>
      <c r="C15" s="22">
        <v>1</v>
      </c>
      <c r="D15" s="18">
        <v>480</v>
      </c>
      <c r="E15" s="32">
        <v>150</v>
      </c>
      <c r="F15" s="31">
        <f>Table1[[#This Row],[Estimated Hours]]*Table1[[#This Row],[Hourly Rate]]</f>
        <v>72000</v>
      </c>
    </row>
    <row r="16" spans="1:8" x14ac:dyDescent="0.25">
      <c r="A16" s="18" t="s">
        <v>78</v>
      </c>
      <c r="B16" s="18" t="s">
        <v>112</v>
      </c>
      <c r="C16" s="22">
        <v>1</v>
      </c>
      <c r="D16" s="18">
        <v>480</v>
      </c>
      <c r="E16" s="32">
        <v>120</v>
      </c>
      <c r="F16" s="31">
        <f>Table1[[#This Row],[Estimated Hours]]*Table1[[#This Row],[Hourly Rate]]</f>
        <v>57600</v>
      </c>
    </row>
    <row r="17" spans="1:8" x14ac:dyDescent="0.25">
      <c r="A17" s="18" t="s">
        <v>79</v>
      </c>
      <c r="B17" s="18" t="s">
        <v>113</v>
      </c>
      <c r="C17" s="22">
        <v>1</v>
      </c>
      <c r="D17" s="18">
        <v>480</v>
      </c>
      <c r="E17" s="32">
        <v>90</v>
      </c>
      <c r="F17" s="31">
        <f>Table1[[#This Row],[Estimated Hours]]*Table1[[#This Row],[Hourly Rate]]</f>
        <v>43200</v>
      </c>
    </row>
    <row r="18" spans="1:8" x14ac:dyDescent="0.25">
      <c r="A18" s="18" t="s">
        <v>80</v>
      </c>
      <c r="B18" s="18" t="s">
        <v>114</v>
      </c>
      <c r="C18" s="22">
        <v>1</v>
      </c>
      <c r="D18" s="18">
        <v>480</v>
      </c>
      <c r="E18" s="32">
        <v>125</v>
      </c>
      <c r="F18" s="31">
        <f>Table1[[#This Row],[Estimated Hours]]*Table1[[#This Row],[Hourly Rate]]</f>
        <v>60000</v>
      </c>
    </row>
    <row r="19" spans="1:8" x14ac:dyDescent="0.25">
      <c r="A19" s="18" t="s">
        <v>81</v>
      </c>
      <c r="B19" s="18" t="s">
        <v>115</v>
      </c>
      <c r="C19" s="22">
        <v>1</v>
      </c>
      <c r="D19" s="18">
        <v>480</v>
      </c>
      <c r="E19" s="32">
        <v>150</v>
      </c>
      <c r="F19" s="31">
        <f>Table1[[#This Row],[Estimated Hours]]*Table1[[#This Row],[Hourly Rate]]</f>
        <v>72000</v>
      </c>
      <c r="G19" t="s">
        <v>144</v>
      </c>
      <c r="H19" s="35">
        <f>SUM(F15:F19)</f>
        <v>304800</v>
      </c>
    </row>
    <row r="20" spans="1:8" s="28" customFormat="1" ht="30" x14ac:dyDescent="0.25">
      <c r="A20" s="26" t="s">
        <v>82</v>
      </c>
      <c r="B20" s="29" t="s">
        <v>116</v>
      </c>
      <c r="C20" s="38">
        <v>1</v>
      </c>
      <c r="D20" s="27">
        <v>480</v>
      </c>
      <c r="E20" s="36">
        <v>145</v>
      </c>
      <c r="F20" s="37">
        <f>Table1[[#This Row],[Estimated Hours]]*Table1[[#This Row],[Hourly Rate]]</f>
        <v>69600</v>
      </c>
    </row>
    <row r="21" spans="1:8" s="28" customFormat="1" ht="30" x14ac:dyDescent="0.25">
      <c r="A21" s="26" t="s">
        <v>83</v>
      </c>
      <c r="B21" s="29" t="s">
        <v>117</v>
      </c>
      <c r="C21" s="38">
        <v>1</v>
      </c>
      <c r="D21" s="27">
        <v>480</v>
      </c>
      <c r="E21" s="39">
        <v>100</v>
      </c>
      <c r="F21" s="40">
        <f>Table1[[#This Row],[Estimated Hours]]*Table1[[#This Row],[Hourly Rate]]</f>
        <v>48000</v>
      </c>
    </row>
    <row r="22" spans="1:8" s="28" customFormat="1" ht="30" x14ac:dyDescent="0.25">
      <c r="A22" s="26" t="s">
        <v>84</v>
      </c>
      <c r="B22" s="27" t="s">
        <v>118</v>
      </c>
      <c r="C22" s="38">
        <v>1</v>
      </c>
      <c r="D22" s="27">
        <v>480</v>
      </c>
      <c r="E22" s="39">
        <v>70</v>
      </c>
      <c r="F22" s="40">
        <f>Table1[[#This Row],[Estimated Hours]]*Table1[[#This Row],[Hourly Rate]]</f>
        <v>33600</v>
      </c>
    </row>
    <row r="23" spans="1:8" x14ac:dyDescent="0.25">
      <c r="A23" s="18" t="s">
        <v>85</v>
      </c>
      <c r="B23" s="18" t="s">
        <v>121</v>
      </c>
      <c r="C23" s="22">
        <v>1</v>
      </c>
      <c r="D23" s="18">
        <v>480</v>
      </c>
      <c r="E23" s="32">
        <v>130</v>
      </c>
      <c r="F23" s="31">
        <f>Table1[[#This Row],[Estimated Hours]]*Table1[[#This Row],[Hourly Rate]]</f>
        <v>62400</v>
      </c>
    </row>
    <row r="24" spans="1:8" s="28" customFormat="1" ht="45" x14ac:dyDescent="0.25">
      <c r="A24" s="27" t="s">
        <v>86</v>
      </c>
      <c r="B24" s="27" t="s">
        <v>122</v>
      </c>
      <c r="C24" s="38">
        <v>1</v>
      </c>
      <c r="D24" s="27">
        <v>480</v>
      </c>
      <c r="E24" s="36">
        <v>80</v>
      </c>
      <c r="F24" s="37">
        <f>Table1[[#This Row],[Estimated Hours]]*Table1[[#This Row],[Hourly Rate]]</f>
        <v>38400</v>
      </c>
      <c r="G24" s="48" t="s">
        <v>148</v>
      </c>
      <c r="H24" s="40">
        <f>SUM(F20:F24)</f>
        <v>252000</v>
      </c>
    </row>
    <row r="25" spans="1:8" s="28" customFormat="1" ht="30" x14ac:dyDescent="0.25">
      <c r="A25" s="26" t="s">
        <v>87</v>
      </c>
      <c r="B25" s="27" t="s">
        <v>106</v>
      </c>
      <c r="C25" s="22">
        <v>1</v>
      </c>
      <c r="D25" s="18">
        <v>480</v>
      </c>
      <c r="E25" s="36">
        <v>185</v>
      </c>
      <c r="F25" s="37">
        <f>Table1[[#This Row],[Estimated Hours]]*Table1[[#This Row],[Hourly Rate]]</f>
        <v>88800</v>
      </c>
    </row>
    <row r="26" spans="1:8" x14ac:dyDescent="0.25">
      <c r="A26" s="18" t="s">
        <v>89</v>
      </c>
      <c r="B26" s="18" t="s">
        <v>107</v>
      </c>
      <c r="C26" s="22">
        <v>1</v>
      </c>
      <c r="D26" s="18">
        <v>480</v>
      </c>
      <c r="E26" s="32">
        <v>170</v>
      </c>
      <c r="F26" s="31">
        <f>Table1[[#This Row],[Estimated Hours]]*Table1[[#This Row],[Hourly Rate]]</f>
        <v>81600</v>
      </c>
    </row>
    <row r="27" spans="1:8" x14ac:dyDescent="0.25">
      <c r="A27" s="18" t="s">
        <v>88</v>
      </c>
      <c r="B27" s="18" t="s">
        <v>119</v>
      </c>
      <c r="C27" s="22">
        <v>1</v>
      </c>
      <c r="D27" s="18">
        <v>480</v>
      </c>
      <c r="E27" s="32">
        <v>85</v>
      </c>
      <c r="F27" s="31">
        <f>Table1[[#This Row],[Estimated Hours]]*Table1[[#This Row],[Hourly Rate]]</f>
        <v>40800</v>
      </c>
    </row>
    <row r="28" spans="1:8" x14ac:dyDescent="0.25">
      <c r="A28" s="18" t="s">
        <v>90</v>
      </c>
      <c r="B28" s="18" t="s">
        <v>123</v>
      </c>
      <c r="C28" s="22">
        <v>1</v>
      </c>
      <c r="D28" s="18">
        <v>480</v>
      </c>
      <c r="E28" s="32">
        <v>85</v>
      </c>
      <c r="F28" s="31">
        <f>Table1[[#This Row],[Estimated Hours]]*Table1[[#This Row],[Hourly Rate]]</f>
        <v>40800</v>
      </c>
    </row>
    <row r="29" spans="1:8" x14ac:dyDescent="0.25">
      <c r="A29" s="18" t="s">
        <v>91</v>
      </c>
      <c r="B29" s="18" t="s">
        <v>124</v>
      </c>
      <c r="C29" s="22">
        <v>1</v>
      </c>
      <c r="D29" s="18">
        <v>480</v>
      </c>
      <c r="E29" s="32">
        <v>160</v>
      </c>
      <c r="F29" s="31">
        <f>Table1[[#This Row],[Estimated Hours]]*Table1[[#This Row],[Hourly Rate]]</f>
        <v>76800</v>
      </c>
      <c r="G29" t="s">
        <v>149</v>
      </c>
      <c r="H29" s="35">
        <f>SUM(F25:F29)</f>
        <v>328800</v>
      </c>
    </row>
    <row r="30" spans="1:8" x14ac:dyDescent="0.25">
      <c r="A30" s="18" t="s">
        <v>92</v>
      </c>
      <c r="B30" s="18" t="s">
        <v>125</v>
      </c>
      <c r="C30" s="22">
        <v>1</v>
      </c>
      <c r="D30" s="18">
        <v>480</v>
      </c>
      <c r="E30" s="32">
        <v>110</v>
      </c>
      <c r="F30" s="31">
        <f>Table1[[#This Row],[Estimated Hours]]*Table1[[#This Row],[Hourly Rate]]</f>
        <v>52800</v>
      </c>
    </row>
    <row r="31" spans="1:8" x14ac:dyDescent="0.25">
      <c r="A31" s="18" t="s">
        <v>93</v>
      </c>
      <c r="B31" s="18" t="s">
        <v>126</v>
      </c>
      <c r="C31" s="22">
        <v>1</v>
      </c>
      <c r="D31" s="18">
        <v>480</v>
      </c>
      <c r="E31" s="32">
        <v>120</v>
      </c>
      <c r="F31" s="31">
        <f>Table1[[#This Row],[Estimated Hours]]*Table1[[#This Row],[Hourly Rate]]</f>
        <v>57600</v>
      </c>
    </row>
    <row r="32" spans="1:8" x14ac:dyDescent="0.25">
      <c r="A32" s="18" t="s">
        <v>94</v>
      </c>
      <c r="B32" s="18" t="s">
        <v>127</v>
      </c>
      <c r="C32" s="22">
        <v>1</v>
      </c>
      <c r="D32" s="18">
        <v>480</v>
      </c>
      <c r="E32" s="32">
        <v>80</v>
      </c>
      <c r="F32" s="31">
        <f>Table1[[#This Row],[Estimated Hours]]*Table1[[#This Row],[Hourly Rate]]</f>
        <v>38400</v>
      </c>
    </row>
    <row r="33" spans="1:8" x14ac:dyDescent="0.25">
      <c r="A33" s="18" t="s">
        <v>95</v>
      </c>
      <c r="B33" s="18" t="s">
        <v>128</v>
      </c>
      <c r="C33" s="22">
        <v>1</v>
      </c>
      <c r="D33" s="18">
        <v>480</v>
      </c>
      <c r="E33" s="32">
        <v>75</v>
      </c>
      <c r="F33" s="31">
        <f>Table1[[#This Row],[Estimated Hours]]*Table1[[#This Row],[Hourly Rate]]</f>
        <v>36000</v>
      </c>
    </row>
    <row r="34" spans="1:8" x14ac:dyDescent="0.25">
      <c r="A34" s="18" t="s">
        <v>96</v>
      </c>
      <c r="B34" s="18" t="s">
        <v>120</v>
      </c>
      <c r="C34" s="22">
        <v>1</v>
      </c>
      <c r="D34" s="18">
        <v>480</v>
      </c>
      <c r="E34" s="32">
        <v>55</v>
      </c>
      <c r="F34" s="31">
        <f>Table1[[#This Row],[Estimated Hours]]*Table1[[#This Row],[Hourly Rate]]</f>
        <v>26400</v>
      </c>
    </row>
    <row r="35" spans="1:8" s="48" customFormat="1" ht="30" x14ac:dyDescent="0.25">
      <c r="A35" s="26" t="s">
        <v>96</v>
      </c>
      <c r="B35" s="26" t="s">
        <v>129</v>
      </c>
      <c r="C35" s="49">
        <v>1</v>
      </c>
      <c r="D35" s="26">
        <v>480</v>
      </c>
      <c r="E35" s="50">
        <v>55</v>
      </c>
      <c r="F35" s="51">
        <f>Table1[[#This Row],[Estimated Hours]]*Table1[[#This Row],[Hourly Rate]]</f>
        <v>26400</v>
      </c>
      <c r="G35" s="48" t="s">
        <v>150</v>
      </c>
      <c r="H35" s="52">
        <f>SUM(F30:F35)</f>
        <v>237600</v>
      </c>
    </row>
    <row r="36" spans="1:8" x14ac:dyDescent="0.25">
      <c r="A36" s="18" t="s">
        <v>64</v>
      </c>
      <c r="B36" s="18"/>
      <c r="C36" s="24"/>
      <c r="D36" s="18"/>
      <c r="E36" s="32"/>
      <c r="F36" s="31">
        <f>SUM(Table1[Cost])</f>
        <v>1809600</v>
      </c>
      <c r="H36" s="35">
        <f>SUM(H3, H8, H13, H14, H19, H24, H29, H35)</f>
        <v>1809600</v>
      </c>
    </row>
    <row r="37" spans="1:8" x14ac:dyDescent="0.25">
      <c r="H37" s="3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83BBC-D69C-4A4E-8BA1-15541E8B820B}">
  <dimension ref="A1:G357"/>
  <sheetViews>
    <sheetView topLeftCell="A4" zoomScale="150" zoomScaleNormal="150" workbookViewId="0">
      <selection activeCell="F20" sqref="F20"/>
    </sheetView>
  </sheetViews>
  <sheetFormatPr defaultRowHeight="15" x14ac:dyDescent="0.25"/>
  <cols>
    <col min="1" max="1" width="35.7109375" style="41" bestFit="1" customWidth="1"/>
    <col min="2" max="2" width="13.140625" style="41" bestFit="1" customWidth="1"/>
    <col min="3" max="3" width="18.5703125" style="61" bestFit="1" customWidth="1"/>
    <col min="4" max="4" width="14.5703125" style="55" bestFit="1" customWidth="1"/>
    <col min="5" max="5" width="17" style="41" customWidth="1"/>
    <col min="6" max="6" width="14.5703125" style="41" bestFit="1" customWidth="1"/>
    <col min="7" max="7" width="8.7109375" style="41" bestFit="1" customWidth="1"/>
  </cols>
  <sheetData>
    <row r="1" spans="1:7" x14ac:dyDescent="0.25">
      <c r="A1" s="42" t="s">
        <v>130</v>
      </c>
      <c r="B1" s="43" t="s">
        <v>9</v>
      </c>
      <c r="C1" s="57" t="s">
        <v>131</v>
      </c>
      <c r="D1" s="53" t="s">
        <v>132</v>
      </c>
      <c r="E1" s="43" t="s">
        <v>133</v>
      </c>
      <c r="F1" s="43" t="s">
        <v>64</v>
      </c>
      <c r="G1" s="44" t="s">
        <v>134</v>
      </c>
    </row>
    <row r="2" spans="1:7" x14ac:dyDescent="0.25">
      <c r="A2" s="16" t="s">
        <v>142</v>
      </c>
      <c r="B2" s="16" t="s">
        <v>139</v>
      </c>
      <c r="C2" s="62">
        <v>240</v>
      </c>
      <c r="D2" s="21">
        <f>Table2[[#This Row],[Total]]/Table2[[#This Row],[Quantity/Months]]</f>
        <v>460</v>
      </c>
      <c r="E2" s="16">
        <v>3</v>
      </c>
      <c r="F2" s="58">
        <f>'Roles and Resources'!H3</f>
        <v>110400</v>
      </c>
      <c r="G2" s="16"/>
    </row>
    <row r="3" spans="1:7" x14ac:dyDescent="0.25">
      <c r="A3" s="45" t="s">
        <v>135</v>
      </c>
      <c r="B3" s="16" t="s">
        <v>139</v>
      </c>
      <c r="C3" s="62">
        <v>600</v>
      </c>
      <c r="D3" s="21">
        <f>Table2[[#This Row],[Total]]/Table2[[#This Row],[Quantity/Months]]</f>
        <v>424</v>
      </c>
      <c r="E3" s="16">
        <v>3</v>
      </c>
      <c r="F3" s="58">
        <f>'Roles and Resources'!H8</f>
        <v>254400</v>
      </c>
      <c r="G3" s="46"/>
    </row>
    <row r="4" spans="1:7" x14ac:dyDescent="0.25">
      <c r="A4" s="45" t="s">
        <v>136</v>
      </c>
      <c r="B4" s="16" t="s">
        <v>139</v>
      </c>
      <c r="C4" s="62">
        <v>600</v>
      </c>
      <c r="D4" s="21">
        <f>Table2[[#This Row],[Total]]/Table2[[#This Row],[Quantity/Months]]</f>
        <v>432</v>
      </c>
      <c r="E4" s="16">
        <v>3</v>
      </c>
      <c r="F4" s="58">
        <f>'Roles and Resources'!H13</f>
        <v>259200</v>
      </c>
      <c r="G4" s="46"/>
    </row>
    <row r="5" spans="1:7" x14ac:dyDescent="0.25">
      <c r="A5" s="15" t="s">
        <v>152</v>
      </c>
      <c r="B5" s="16" t="s">
        <v>139</v>
      </c>
      <c r="C5" s="62">
        <v>160</v>
      </c>
      <c r="D5" s="21">
        <f>Table2[[#This Row],[Total]]/Table2[[#This Row],[Quantity/Months]]</f>
        <v>390</v>
      </c>
      <c r="E5" s="16">
        <v>3</v>
      </c>
      <c r="F5" s="58">
        <f>'Roles and Resources'!H14</f>
        <v>62400</v>
      </c>
      <c r="G5" s="46"/>
    </row>
    <row r="6" spans="1:7" x14ac:dyDescent="0.25">
      <c r="A6" s="45" t="s">
        <v>138</v>
      </c>
      <c r="B6" s="16" t="s">
        <v>139</v>
      </c>
      <c r="C6" s="62">
        <v>600</v>
      </c>
      <c r="D6" s="21">
        <f>Table2[[#This Row],[Total]]/Table2[[#This Row],[Quantity/Months]]</f>
        <v>508</v>
      </c>
      <c r="E6" s="16">
        <v>3</v>
      </c>
      <c r="F6" s="58">
        <f>'Roles and Resources'!H19</f>
        <v>304800</v>
      </c>
      <c r="G6" s="46"/>
    </row>
    <row r="7" spans="1:7" x14ac:dyDescent="0.25">
      <c r="A7" s="45" t="s">
        <v>137</v>
      </c>
      <c r="B7" s="16" t="s">
        <v>139</v>
      </c>
      <c r="C7" s="62">
        <v>600</v>
      </c>
      <c r="D7" s="21">
        <f>Table2[[#This Row],[Total]]/Table2[[#This Row],[Quantity/Months]]</f>
        <v>420</v>
      </c>
      <c r="E7" s="16">
        <v>3</v>
      </c>
      <c r="F7" s="58">
        <f>'Roles and Resources'!H24</f>
        <v>252000</v>
      </c>
      <c r="G7" s="46"/>
    </row>
    <row r="8" spans="1:7" x14ac:dyDescent="0.25">
      <c r="A8" s="45" t="s">
        <v>140</v>
      </c>
      <c r="B8" s="19" t="s">
        <v>139</v>
      </c>
      <c r="C8" s="62">
        <v>600</v>
      </c>
      <c r="D8" s="21">
        <f>Table2[[#This Row],[Total]]/Table2[[#This Row],[Quantity/Months]]</f>
        <v>548</v>
      </c>
      <c r="E8" s="19">
        <v>3</v>
      </c>
      <c r="F8" s="58">
        <f>'Roles and Resources'!H29</f>
        <v>328800</v>
      </c>
      <c r="G8" s="14"/>
    </row>
    <row r="9" spans="1:7" x14ac:dyDescent="0.25">
      <c r="A9" s="15" t="s">
        <v>141</v>
      </c>
      <c r="B9" s="19" t="s">
        <v>139</v>
      </c>
      <c r="C9" s="62">
        <v>720</v>
      </c>
      <c r="D9" s="21">
        <f>Table2[[#This Row],[Total]]/Table2[[#This Row],[Quantity/Months]]</f>
        <v>330</v>
      </c>
      <c r="E9" s="19">
        <v>3</v>
      </c>
      <c r="F9" s="58">
        <f>'Roles and Resources'!H35</f>
        <v>237600</v>
      </c>
      <c r="G9" s="14"/>
    </row>
    <row r="10" spans="1:7" x14ac:dyDescent="0.25">
      <c r="A10" s="15" t="s">
        <v>153</v>
      </c>
      <c r="B10" s="19" t="s">
        <v>154</v>
      </c>
      <c r="C10" s="63">
        <v>2000</v>
      </c>
      <c r="D10" s="21">
        <v>2000</v>
      </c>
      <c r="E10" s="19">
        <v>3</v>
      </c>
      <c r="F10" s="59">
        <f>Table2[[#This Row],[Unit Cost]]*Table2[[#This Row],[Duration (Months)]]</f>
        <v>6000</v>
      </c>
      <c r="G10" s="14"/>
    </row>
    <row r="11" spans="1:7" x14ac:dyDescent="0.25">
      <c r="A11" s="15" t="s">
        <v>155</v>
      </c>
      <c r="B11" s="19" t="s">
        <v>156</v>
      </c>
      <c r="C11" s="63">
        <v>20000</v>
      </c>
      <c r="D11" s="56">
        <v>20000</v>
      </c>
      <c r="E11" s="19">
        <v>3</v>
      </c>
      <c r="F11" s="59">
        <f>Table2[[#This Row],[Unit Cost]]*Table2[[#This Row],[Duration (Months)]]</f>
        <v>60000</v>
      </c>
      <c r="G11" s="14"/>
    </row>
    <row r="12" spans="1:7" x14ac:dyDescent="0.25">
      <c r="A12" s="15" t="s">
        <v>157</v>
      </c>
      <c r="B12" s="19" t="s">
        <v>156</v>
      </c>
      <c r="C12" s="63">
        <v>8000</v>
      </c>
      <c r="D12" s="64">
        <v>8000</v>
      </c>
      <c r="E12" s="19">
        <v>3</v>
      </c>
      <c r="F12" s="59">
        <f>Table2[[#This Row],[Unit Cost]]*Table2[[#This Row],[Duration (Months)]]</f>
        <v>24000</v>
      </c>
      <c r="G12" s="14"/>
    </row>
    <row r="13" spans="1:7" x14ac:dyDescent="0.25">
      <c r="A13" s="15" t="s">
        <v>158</v>
      </c>
      <c r="B13" s="19" t="s">
        <v>159</v>
      </c>
      <c r="C13" s="65">
        <v>0.1</v>
      </c>
      <c r="D13" s="64" t="s">
        <v>160</v>
      </c>
      <c r="E13" s="66" t="s">
        <v>161</v>
      </c>
      <c r="F13" s="59">
        <f>SUM(F2:F12)*Table2[[#This Row],[Quantity/Months]] + SUM(F2:F12)</f>
        <v>2089560</v>
      </c>
      <c r="G13" s="14"/>
    </row>
    <row r="14" spans="1:7" x14ac:dyDescent="0.25">
      <c r="A14"/>
      <c r="B14"/>
      <c r="C14" s="60"/>
      <c r="D14" s="54"/>
      <c r="E14"/>
      <c r="F14"/>
      <c r="G14"/>
    </row>
    <row r="15" spans="1:7" x14ac:dyDescent="0.25">
      <c r="A15"/>
      <c r="B15"/>
      <c r="C15" s="60"/>
      <c r="D15" s="54"/>
      <c r="E15"/>
      <c r="F15"/>
      <c r="G15"/>
    </row>
    <row r="16" spans="1:7" x14ac:dyDescent="0.25">
      <c r="A16"/>
      <c r="B16"/>
      <c r="C16" s="60"/>
      <c r="D16" s="54"/>
      <c r="E16"/>
      <c r="F16"/>
      <c r="G16"/>
    </row>
    <row r="17" spans="3:4" customFormat="1" x14ac:dyDescent="0.25">
      <c r="C17" s="60"/>
      <c r="D17" s="54"/>
    </row>
    <row r="18" spans="3:4" customFormat="1" x14ac:dyDescent="0.25">
      <c r="C18" s="60"/>
      <c r="D18" s="54"/>
    </row>
    <row r="19" spans="3:4" customFormat="1" x14ac:dyDescent="0.25">
      <c r="C19" s="60"/>
      <c r="D19" s="54"/>
    </row>
    <row r="20" spans="3:4" customFormat="1" x14ac:dyDescent="0.25">
      <c r="C20" s="60"/>
      <c r="D20" s="54"/>
    </row>
    <row r="21" spans="3:4" customFormat="1" x14ac:dyDescent="0.25">
      <c r="C21" s="60"/>
      <c r="D21" s="54"/>
    </row>
    <row r="22" spans="3:4" customFormat="1" x14ac:dyDescent="0.25">
      <c r="C22" s="60"/>
      <c r="D22" s="54"/>
    </row>
    <row r="23" spans="3:4" customFormat="1" x14ac:dyDescent="0.25">
      <c r="C23" s="60"/>
      <c r="D23" s="54"/>
    </row>
    <row r="24" spans="3:4" customFormat="1" x14ac:dyDescent="0.25">
      <c r="C24" s="60"/>
      <c r="D24" s="54"/>
    </row>
    <row r="25" spans="3:4" customFormat="1" x14ac:dyDescent="0.25">
      <c r="C25" s="60"/>
      <c r="D25" s="54"/>
    </row>
    <row r="26" spans="3:4" customFormat="1" x14ac:dyDescent="0.25">
      <c r="C26" s="60"/>
      <c r="D26" s="54"/>
    </row>
    <row r="27" spans="3:4" customFormat="1" x14ac:dyDescent="0.25">
      <c r="C27" s="60"/>
      <c r="D27" s="54"/>
    </row>
    <row r="28" spans="3:4" customFormat="1" x14ac:dyDescent="0.25">
      <c r="C28" s="60"/>
      <c r="D28" s="54"/>
    </row>
    <row r="29" spans="3:4" customFormat="1" x14ac:dyDescent="0.25">
      <c r="C29" s="60"/>
      <c r="D29" s="54"/>
    </row>
    <row r="30" spans="3:4" customFormat="1" x14ac:dyDescent="0.25">
      <c r="C30" s="60"/>
      <c r="D30" s="54"/>
    </row>
    <row r="31" spans="3:4" customFormat="1" x14ac:dyDescent="0.25">
      <c r="C31" s="60"/>
      <c r="D31" s="54"/>
    </row>
    <row r="32" spans="3:4" customFormat="1" x14ac:dyDescent="0.25">
      <c r="C32" s="60"/>
      <c r="D32" s="54"/>
    </row>
    <row r="33" spans="3:4" customFormat="1" x14ac:dyDescent="0.25">
      <c r="C33" s="60"/>
      <c r="D33" s="54"/>
    </row>
    <row r="34" spans="3:4" customFormat="1" x14ac:dyDescent="0.25">
      <c r="C34" s="60"/>
      <c r="D34" s="54"/>
    </row>
    <row r="35" spans="3:4" customFormat="1" x14ac:dyDescent="0.25">
      <c r="C35" s="60"/>
      <c r="D35" s="54"/>
    </row>
    <row r="36" spans="3:4" customFormat="1" x14ac:dyDescent="0.25">
      <c r="C36" s="60"/>
      <c r="D36" s="54"/>
    </row>
    <row r="37" spans="3:4" customFormat="1" x14ac:dyDescent="0.25">
      <c r="C37" s="60"/>
      <c r="D37" s="54"/>
    </row>
    <row r="38" spans="3:4" customFormat="1" x14ac:dyDescent="0.25">
      <c r="C38" s="60"/>
      <c r="D38" s="54"/>
    </row>
    <row r="39" spans="3:4" customFormat="1" x14ac:dyDescent="0.25">
      <c r="C39" s="60"/>
      <c r="D39" s="54"/>
    </row>
    <row r="40" spans="3:4" customFormat="1" x14ac:dyDescent="0.25">
      <c r="C40" s="60"/>
      <c r="D40" s="54"/>
    </row>
    <row r="41" spans="3:4" customFormat="1" x14ac:dyDescent="0.25">
      <c r="C41" s="60"/>
      <c r="D41" s="54"/>
    </row>
    <row r="42" spans="3:4" customFormat="1" x14ac:dyDescent="0.25">
      <c r="C42" s="60"/>
      <c r="D42" s="54"/>
    </row>
    <row r="43" spans="3:4" customFormat="1" x14ac:dyDescent="0.25">
      <c r="C43" s="60"/>
      <c r="D43" s="54"/>
    </row>
    <row r="44" spans="3:4" customFormat="1" x14ac:dyDescent="0.25">
      <c r="C44" s="60"/>
      <c r="D44" s="54"/>
    </row>
    <row r="45" spans="3:4" customFormat="1" x14ac:dyDescent="0.25">
      <c r="C45" s="60"/>
      <c r="D45" s="54"/>
    </row>
    <row r="46" spans="3:4" customFormat="1" x14ac:dyDescent="0.25">
      <c r="C46" s="60"/>
      <c r="D46" s="54"/>
    </row>
    <row r="47" spans="3:4" customFormat="1" x14ac:dyDescent="0.25">
      <c r="C47" s="60"/>
      <c r="D47" s="54"/>
    </row>
    <row r="48" spans="3:4" customFormat="1" x14ac:dyDescent="0.25">
      <c r="C48" s="60"/>
      <c r="D48" s="54"/>
    </row>
    <row r="49" spans="3:4" customFormat="1" x14ac:dyDescent="0.25">
      <c r="C49" s="60"/>
      <c r="D49" s="54"/>
    </row>
    <row r="50" spans="3:4" customFormat="1" x14ac:dyDescent="0.25">
      <c r="C50" s="60"/>
      <c r="D50" s="54"/>
    </row>
    <row r="51" spans="3:4" customFormat="1" x14ac:dyDescent="0.25">
      <c r="C51" s="60"/>
      <c r="D51" s="54"/>
    </row>
    <row r="52" spans="3:4" customFormat="1" x14ac:dyDescent="0.25">
      <c r="C52" s="60"/>
      <c r="D52" s="54"/>
    </row>
    <row r="53" spans="3:4" customFormat="1" x14ac:dyDescent="0.25">
      <c r="C53" s="60"/>
      <c r="D53" s="54"/>
    </row>
    <row r="54" spans="3:4" customFormat="1" x14ac:dyDescent="0.25">
      <c r="C54" s="60"/>
      <c r="D54" s="54"/>
    </row>
    <row r="55" spans="3:4" customFormat="1" x14ac:dyDescent="0.25">
      <c r="C55" s="60"/>
      <c r="D55" s="54"/>
    </row>
    <row r="56" spans="3:4" customFormat="1" x14ac:dyDescent="0.25">
      <c r="C56" s="60"/>
      <c r="D56" s="54"/>
    </row>
    <row r="57" spans="3:4" customFormat="1" x14ac:dyDescent="0.25">
      <c r="C57" s="60"/>
      <c r="D57" s="54"/>
    </row>
    <row r="58" spans="3:4" customFormat="1" x14ac:dyDescent="0.25">
      <c r="C58" s="60"/>
      <c r="D58" s="54"/>
    </row>
    <row r="59" spans="3:4" customFormat="1" x14ac:dyDescent="0.25">
      <c r="C59" s="60"/>
      <c r="D59" s="54"/>
    </row>
    <row r="60" spans="3:4" customFormat="1" x14ac:dyDescent="0.25">
      <c r="C60" s="60"/>
      <c r="D60" s="54"/>
    </row>
    <row r="61" spans="3:4" customFormat="1" x14ac:dyDescent="0.25">
      <c r="C61" s="60"/>
      <c r="D61" s="54"/>
    </row>
    <row r="62" spans="3:4" customFormat="1" x14ac:dyDescent="0.25">
      <c r="C62" s="60"/>
      <c r="D62" s="54"/>
    </row>
    <row r="63" spans="3:4" customFormat="1" x14ac:dyDescent="0.25">
      <c r="C63" s="60"/>
      <c r="D63" s="54"/>
    </row>
    <row r="64" spans="3:4" customFormat="1" x14ac:dyDescent="0.25">
      <c r="C64" s="60"/>
      <c r="D64" s="54"/>
    </row>
    <row r="65" spans="3:4" customFormat="1" x14ac:dyDescent="0.25">
      <c r="C65" s="60"/>
      <c r="D65" s="54"/>
    </row>
    <row r="66" spans="3:4" customFormat="1" x14ac:dyDescent="0.25">
      <c r="C66" s="60"/>
      <c r="D66" s="54"/>
    </row>
    <row r="67" spans="3:4" customFormat="1" x14ac:dyDescent="0.25">
      <c r="C67" s="60"/>
      <c r="D67" s="54"/>
    </row>
    <row r="68" spans="3:4" customFormat="1" x14ac:dyDescent="0.25">
      <c r="C68" s="60"/>
      <c r="D68" s="54"/>
    </row>
    <row r="69" spans="3:4" customFormat="1" x14ac:dyDescent="0.25">
      <c r="C69" s="60"/>
      <c r="D69" s="54"/>
    </row>
    <row r="70" spans="3:4" customFormat="1" x14ac:dyDescent="0.25">
      <c r="C70" s="60"/>
      <c r="D70" s="54"/>
    </row>
    <row r="71" spans="3:4" customFormat="1" x14ac:dyDescent="0.25">
      <c r="C71" s="60"/>
      <c r="D71" s="54"/>
    </row>
    <row r="72" spans="3:4" customFormat="1" x14ac:dyDescent="0.25">
      <c r="C72" s="60"/>
      <c r="D72" s="54"/>
    </row>
    <row r="73" spans="3:4" customFormat="1" x14ac:dyDescent="0.25">
      <c r="C73" s="60"/>
      <c r="D73" s="54"/>
    </row>
    <row r="74" spans="3:4" customFormat="1" x14ac:dyDescent="0.25">
      <c r="C74" s="60"/>
      <c r="D74" s="54"/>
    </row>
    <row r="75" spans="3:4" customFormat="1" x14ac:dyDescent="0.25">
      <c r="C75" s="60"/>
      <c r="D75" s="54"/>
    </row>
    <row r="76" spans="3:4" customFormat="1" x14ac:dyDescent="0.25">
      <c r="C76" s="60"/>
      <c r="D76" s="54"/>
    </row>
    <row r="77" spans="3:4" customFormat="1" x14ac:dyDescent="0.25">
      <c r="C77" s="60"/>
      <c r="D77" s="54"/>
    </row>
    <row r="78" spans="3:4" customFormat="1" x14ac:dyDescent="0.25">
      <c r="C78" s="60"/>
      <c r="D78" s="54"/>
    </row>
    <row r="79" spans="3:4" customFormat="1" x14ac:dyDescent="0.25">
      <c r="C79" s="60"/>
      <c r="D79" s="54"/>
    </row>
    <row r="80" spans="3:4" customFormat="1" x14ac:dyDescent="0.25">
      <c r="C80" s="60"/>
      <c r="D80" s="54"/>
    </row>
    <row r="81" spans="3:4" customFormat="1" x14ac:dyDescent="0.25">
      <c r="C81" s="60"/>
      <c r="D81" s="54"/>
    </row>
    <row r="82" spans="3:4" customFormat="1" x14ac:dyDescent="0.25">
      <c r="C82" s="60"/>
      <c r="D82" s="54"/>
    </row>
    <row r="83" spans="3:4" customFormat="1" x14ac:dyDescent="0.25">
      <c r="C83" s="60"/>
      <c r="D83" s="54"/>
    </row>
    <row r="84" spans="3:4" customFormat="1" x14ac:dyDescent="0.25">
      <c r="C84" s="60"/>
      <c r="D84" s="54"/>
    </row>
    <row r="85" spans="3:4" customFormat="1" x14ac:dyDescent="0.25">
      <c r="C85" s="60"/>
      <c r="D85" s="54"/>
    </row>
    <row r="86" spans="3:4" customFormat="1" x14ac:dyDescent="0.25">
      <c r="C86" s="60"/>
      <c r="D86" s="54"/>
    </row>
    <row r="87" spans="3:4" customFormat="1" x14ac:dyDescent="0.25">
      <c r="C87" s="60"/>
      <c r="D87" s="54"/>
    </row>
    <row r="88" spans="3:4" customFormat="1" x14ac:dyDescent="0.25">
      <c r="C88" s="60"/>
      <c r="D88" s="54"/>
    </row>
    <row r="89" spans="3:4" customFormat="1" x14ac:dyDescent="0.25">
      <c r="C89" s="60"/>
      <c r="D89" s="54"/>
    </row>
    <row r="90" spans="3:4" customFormat="1" x14ac:dyDescent="0.25">
      <c r="C90" s="60"/>
      <c r="D90" s="54"/>
    </row>
    <row r="91" spans="3:4" customFormat="1" x14ac:dyDescent="0.25">
      <c r="C91" s="60"/>
      <c r="D91" s="54"/>
    </row>
    <row r="92" spans="3:4" customFormat="1" x14ac:dyDescent="0.25">
      <c r="C92" s="60"/>
      <c r="D92" s="54"/>
    </row>
    <row r="93" spans="3:4" customFormat="1" x14ac:dyDescent="0.25">
      <c r="C93" s="60"/>
      <c r="D93" s="54"/>
    </row>
    <row r="94" spans="3:4" customFormat="1" x14ac:dyDescent="0.25">
      <c r="C94" s="60"/>
      <c r="D94" s="54"/>
    </row>
    <row r="95" spans="3:4" customFormat="1" x14ac:dyDescent="0.25">
      <c r="C95" s="60"/>
      <c r="D95" s="54"/>
    </row>
    <row r="96" spans="3:4" customFormat="1" x14ac:dyDescent="0.25">
      <c r="C96" s="60"/>
      <c r="D96" s="54"/>
    </row>
    <row r="97" spans="3:4" customFormat="1" x14ac:dyDescent="0.25">
      <c r="C97" s="60"/>
      <c r="D97" s="54"/>
    </row>
    <row r="98" spans="3:4" customFormat="1" x14ac:dyDescent="0.25">
      <c r="C98" s="60"/>
      <c r="D98" s="54"/>
    </row>
    <row r="99" spans="3:4" customFormat="1" x14ac:dyDescent="0.25">
      <c r="C99" s="60"/>
      <c r="D99" s="54"/>
    </row>
    <row r="100" spans="3:4" customFormat="1" x14ac:dyDescent="0.25">
      <c r="C100" s="60"/>
      <c r="D100" s="54"/>
    </row>
    <row r="101" spans="3:4" customFormat="1" x14ac:dyDescent="0.25">
      <c r="C101" s="60"/>
      <c r="D101" s="54"/>
    </row>
    <row r="102" spans="3:4" customFormat="1" x14ac:dyDescent="0.25">
      <c r="C102" s="60"/>
      <c r="D102" s="54"/>
    </row>
    <row r="103" spans="3:4" customFormat="1" x14ac:dyDescent="0.25">
      <c r="C103" s="60"/>
      <c r="D103" s="54"/>
    </row>
    <row r="104" spans="3:4" customFormat="1" x14ac:dyDescent="0.25">
      <c r="C104" s="60"/>
      <c r="D104" s="54"/>
    </row>
    <row r="105" spans="3:4" customFormat="1" x14ac:dyDescent="0.25">
      <c r="C105" s="60"/>
      <c r="D105" s="54"/>
    </row>
    <row r="106" spans="3:4" customFormat="1" x14ac:dyDescent="0.25">
      <c r="C106" s="60"/>
      <c r="D106" s="54"/>
    </row>
    <row r="107" spans="3:4" customFormat="1" x14ac:dyDescent="0.25">
      <c r="C107" s="60"/>
      <c r="D107" s="54"/>
    </row>
    <row r="108" spans="3:4" customFormat="1" x14ac:dyDescent="0.25">
      <c r="C108" s="60"/>
      <c r="D108" s="54"/>
    </row>
    <row r="109" spans="3:4" customFormat="1" x14ac:dyDescent="0.25">
      <c r="C109" s="60"/>
      <c r="D109" s="54"/>
    </row>
    <row r="110" spans="3:4" customFormat="1" x14ac:dyDescent="0.25">
      <c r="C110" s="60"/>
      <c r="D110" s="54"/>
    </row>
    <row r="111" spans="3:4" customFormat="1" x14ac:dyDescent="0.25">
      <c r="C111" s="60"/>
      <c r="D111" s="54"/>
    </row>
    <row r="112" spans="3:4" customFormat="1" x14ac:dyDescent="0.25">
      <c r="C112" s="60"/>
      <c r="D112" s="54"/>
    </row>
    <row r="113" spans="3:4" customFormat="1" x14ac:dyDescent="0.25">
      <c r="C113" s="60"/>
      <c r="D113" s="54"/>
    </row>
    <row r="114" spans="3:4" customFormat="1" x14ac:dyDescent="0.25">
      <c r="C114" s="60"/>
      <c r="D114" s="54"/>
    </row>
    <row r="115" spans="3:4" customFormat="1" x14ac:dyDescent="0.25">
      <c r="C115" s="60"/>
      <c r="D115" s="54"/>
    </row>
    <row r="116" spans="3:4" customFormat="1" x14ac:dyDescent="0.25">
      <c r="C116" s="60"/>
      <c r="D116" s="54"/>
    </row>
    <row r="117" spans="3:4" customFormat="1" x14ac:dyDescent="0.25">
      <c r="C117" s="60"/>
      <c r="D117" s="54"/>
    </row>
    <row r="118" spans="3:4" customFormat="1" x14ac:dyDescent="0.25">
      <c r="C118" s="60"/>
      <c r="D118" s="54"/>
    </row>
    <row r="119" spans="3:4" customFormat="1" x14ac:dyDescent="0.25">
      <c r="C119" s="60"/>
      <c r="D119" s="54"/>
    </row>
    <row r="120" spans="3:4" customFormat="1" x14ac:dyDescent="0.25">
      <c r="C120" s="60"/>
      <c r="D120" s="54"/>
    </row>
    <row r="121" spans="3:4" customFormat="1" x14ac:dyDescent="0.25">
      <c r="C121" s="60"/>
      <c r="D121" s="54"/>
    </row>
    <row r="122" spans="3:4" customFormat="1" x14ac:dyDescent="0.25">
      <c r="C122" s="60"/>
      <c r="D122" s="54"/>
    </row>
    <row r="123" spans="3:4" customFormat="1" x14ac:dyDescent="0.25">
      <c r="C123" s="60"/>
      <c r="D123" s="54"/>
    </row>
    <row r="124" spans="3:4" customFormat="1" x14ac:dyDescent="0.25">
      <c r="C124" s="60"/>
      <c r="D124" s="54"/>
    </row>
    <row r="125" spans="3:4" customFormat="1" x14ac:dyDescent="0.25">
      <c r="C125" s="60"/>
      <c r="D125" s="54"/>
    </row>
    <row r="126" spans="3:4" customFormat="1" x14ac:dyDescent="0.25">
      <c r="C126" s="60"/>
      <c r="D126" s="54"/>
    </row>
    <row r="127" spans="3:4" customFormat="1" x14ac:dyDescent="0.25">
      <c r="C127" s="60"/>
      <c r="D127" s="54"/>
    </row>
    <row r="128" spans="3:4" customFormat="1" x14ac:dyDescent="0.25">
      <c r="C128" s="60"/>
      <c r="D128" s="54"/>
    </row>
    <row r="129" spans="3:4" customFormat="1" x14ac:dyDescent="0.25">
      <c r="C129" s="60"/>
      <c r="D129" s="54"/>
    </row>
    <row r="130" spans="3:4" customFormat="1" x14ac:dyDescent="0.25">
      <c r="C130" s="60"/>
      <c r="D130" s="54"/>
    </row>
    <row r="131" spans="3:4" customFormat="1" x14ac:dyDescent="0.25">
      <c r="C131" s="60"/>
      <c r="D131" s="54"/>
    </row>
    <row r="132" spans="3:4" customFormat="1" x14ac:dyDescent="0.25">
      <c r="C132" s="60"/>
      <c r="D132" s="54"/>
    </row>
    <row r="133" spans="3:4" customFormat="1" x14ac:dyDescent="0.25">
      <c r="C133" s="60"/>
      <c r="D133" s="54"/>
    </row>
    <row r="134" spans="3:4" customFormat="1" x14ac:dyDescent="0.25">
      <c r="C134" s="60"/>
      <c r="D134" s="54"/>
    </row>
    <row r="135" spans="3:4" customFormat="1" x14ac:dyDescent="0.25">
      <c r="C135" s="60"/>
      <c r="D135" s="54"/>
    </row>
    <row r="136" spans="3:4" customFormat="1" x14ac:dyDescent="0.25">
      <c r="C136" s="60"/>
      <c r="D136" s="54"/>
    </row>
    <row r="137" spans="3:4" customFormat="1" x14ac:dyDescent="0.25">
      <c r="C137" s="60"/>
      <c r="D137" s="54"/>
    </row>
    <row r="138" spans="3:4" customFormat="1" x14ac:dyDescent="0.25">
      <c r="C138" s="60"/>
      <c r="D138" s="54"/>
    </row>
    <row r="139" spans="3:4" customFormat="1" x14ac:dyDescent="0.25">
      <c r="C139" s="60"/>
      <c r="D139" s="54"/>
    </row>
    <row r="140" spans="3:4" customFormat="1" x14ac:dyDescent="0.25">
      <c r="C140" s="60"/>
      <c r="D140" s="54"/>
    </row>
    <row r="141" spans="3:4" customFormat="1" x14ac:dyDescent="0.25">
      <c r="C141" s="60"/>
      <c r="D141" s="54"/>
    </row>
    <row r="142" spans="3:4" customFormat="1" x14ac:dyDescent="0.25">
      <c r="C142" s="60"/>
      <c r="D142" s="54"/>
    </row>
    <row r="143" spans="3:4" customFormat="1" x14ac:dyDescent="0.25">
      <c r="C143" s="60"/>
      <c r="D143" s="54"/>
    </row>
    <row r="144" spans="3:4" customFormat="1" x14ac:dyDescent="0.25">
      <c r="C144" s="60"/>
      <c r="D144" s="54"/>
    </row>
    <row r="145" spans="3:4" customFormat="1" x14ac:dyDescent="0.25">
      <c r="C145" s="60"/>
      <c r="D145" s="54"/>
    </row>
    <row r="146" spans="3:4" customFormat="1" x14ac:dyDescent="0.25">
      <c r="C146" s="60"/>
      <c r="D146" s="54"/>
    </row>
    <row r="147" spans="3:4" customFormat="1" x14ac:dyDescent="0.25">
      <c r="C147" s="60"/>
      <c r="D147" s="54"/>
    </row>
    <row r="148" spans="3:4" customFormat="1" x14ac:dyDescent="0.25">
      <c r="C148" s="60"/>
      <c r="D148" s="54"/>
    </row>
    <row r="149" spans="3:4" customFormat="1" x14ac:dyDescent="0.25">
      <c r="C149" s="60"/>
      <c r="D149" s="54"/>
    </row>
    <row r="150" spans="3:4" customFormat="1" x14ac:dyDescent="0.25">
      <c r="C150" s="60"/>
      <c r="D150" s="54"/>
    </row>
    <row r="151" spans="3:4" customFormat="1" x14ac:dyDescent="0.25">
      <c r="C151" s="60"/>
      <c r="D151" s="54"/>
    </row>
    <row r="152" spans="3:4" customFormat="1" x14ac:dyDescent="0.25">
      <c r="C152" s="60"/>
      <c r="D152" s="54"/>
    </row>
    <row r="153" spans="3:4" customFormat="1" x14ac:dyDescent="0.25">
      <c r="C153" s="60"/>
      <c r="D153" s="54"/>
    </row>
    <row r="154" spans="3:4" customFormat="1" x14ac:dyDescent="0.25">
      <c r="C154" s="60"/>
      <c r="D154" s="54"/>
    </row>
    <row r="155" spans="3:4" customFormat="1" x14ac:dyDescent="0.25">
      <c r="C155" s="60"/>
      <c r="D155" s="54"/>
    </row>
    <row r="156" spans="3:4" customFormat="1" x14ac:dyDescent="0.25">
      <c r="C156" s="60"/>
      <c r="D156" s="54"/>
    </row>
    <row r="157" spans="3:4" customFormat="1" x14ac:dyDescent="0.25">
      <c r="C157" s="60"/>
      <c r="D157" s="54"/>
    </row>
    <row r="158" spans="3:4" customFormat="1" x14ac:dyDescent="0.25">
      <c r="C158" s="60"/>
      <c r="D158" s="54"/>
    </row>
    <row r="159" spans="3:4" customFormat="1" x14ac:dyDescent="0.25">
      <c r="C159" s="60"/>
      <c r="D159" s="54"/>
    </row>
    <row r="160" spans="3:4" customFormat="1" x14ac:dyDescent="0.25">
      <c r="C160" s="60"/>
      <c r="D160" s="54"/>
    </row>
    <row r="161" spans="3:4" customFormat="1" x14ac:dyDescent="0.25">
      <c r="C161" s="60"/>
      <c r="D161" s="54"/>
    </row>
    <row r="162" spans="3:4" customFormat="1" x14ac:dyDescent="0.25">
      <c r="C162" s="60"/>
      <c r="D162" s="54"/>
    </row>
    <row r="163" spans="3:4" customFormat="1" x14ac:dyDescent="0.25">
      <c r="C163" s="60"/>
      <c r="D163" s="54"/>
    </row>
    <row r="164" spans="3:4" customFormat="1" x14ac:dyDescent="0.25">
      <c r="C164" s="60"/>
      <c r="D164" s="54"/>
    </row>
    <row r="165" spans="3:4" customFormat="1" x14ac:dyDescent="0.25">
      <c r="C165" s="60"/>
      <c r="D165" s="54"/>
    </row>
    <row r="166" spans="3:4" customFormat="1" x14ac:dyDescent="0.25">
      <c r="C166" s="60"/>
      <c r="D166" s="54"/>
    </row>
    <row r="167" spans="3:4" customFormat="1" x14ac:dyDescent="0.25">
      <c r="C167" s="60"/>
      <c r="D167" s="54"/>
    </row>
    <row r="168" spans="3:4" customFormat="1" x14ac:dyDescent="0.25">
      <c r="C168" s="60"/>
      <c r="D168" s="54"/>
    </row>
    <row r="169" spans="3:4" customFormat="1" x14ac:dyDescent="0.25">
      <c r="C169" s="60"/>
      <c r="D169" s="54"/>
    </row>
    <row r="170" spans="3:4" customFormat="1" x14ac:dyDescent="0.25">
      <c r="C170" s="60"/>
      <c r="D170" s="54"/>
    </row>
    <row r="171" spans="3:4" customFormat="1" x14ac:dyDescent="0.25">
      <c r="C171" s="60"/>
      <c r="D171" s="54"/>
    </row>
    <row r="172" spans="3:4" customFormat="1" x14ac:dyDescent="0.25">
      <c r="C172" s="60"/>
      <c r="D172" s="54"/>
    </row>
    <row r="173" spans="3:4" customFormat="1" x14ac:dyDescent="0.25">
      <c r="C173" s="60"/>
      <c r="D173" s="54"/>
    </row>
    <row r="174" spans="3:4" customFormat="1" x14ac:dyDescent="0.25">
      <c r="C174" s="60"/>
      <c r="D174" s="54"/>
    </row>
    <row r="175" spans="3:4" customFormat="1" x14ac:dyDescent="0.25">
      <c r="C175" s="60"/>
      <c r="D175" s="54"/>
    </row>
    <row r="176" spans="3:4" customFormat="1" x14ac:dyDescent="0.25">
      <c r="C176" s="60"/>
      <c r="D176" s="54"/>
    </row>
    <row r="177" spans="3:4" customFormat="1" x14ac:dyDescent="0.25">
      <c r="C177" s="60"/>
      <c r="D177" s="54"/>
    </row>
    <row r="178" spans="3:4" customFormat="1" x14ac:dyDescent="0.25">
      <c r="C178" s="60"/>
      <c r="D178" s="54"/>
    </row>
    <row r="179" spans="3:4" customFormat="1" x14ac:dyDescent="0.25">
      <c r="C179" s="60"/>
      <c r="D179" s="54"/>
    </row>
    <row r="180" spans="3:4" customFormat="1" x14ac:dyDescent="0.25">
      <c r="C180" s="60"/>
      <c r="D180" s="54"/>
    </row>
    <row r="181" spans="3:4" customFormat="1" x14ac:dyDescent="0.25">
      <c r="C181" s="60"/>
      <c r="D181" s="54"/>
    </row>
    <row r="182" spans="3:4" customFormat="1" x14ac:dyDescent="0.25">
      <c r="C182" s="60"/>
      <c r="D182" s="54"/>
    </row>
    <row r="183" spans="3:4" customFormat="1" x14ac:dyDescent="0.25">
      <c r="C183" s="60"/>
      <c r="D183" s="54"/>
    </row>
    <row r="184" spans="3:4" customFormat="1" x14ac:dyDescent="0.25">
      <c r="C184" s="60"/>
      <c r="D184" s="54"/>
    </row>
    <row r="185" spans="3:4" customFormat="1" x14ac:dyDescent="0.25">
      <c r="C185" s="60"/>
      <c r="D185" s="54"/>
    </row>
    <row r="186" spans="3:4" customFormat="1" x14ac:dyDescent="0.25">
      <c r="C186" s="60"/>
      <c r="D186" s="54"/>
    </row>
    <row r="187" spans="3:4" customFormat="1" x14ac:dyDescent="0.25">
      <c r="C187" s="60"/>
      <c r="D187" s="54"/>
    </row>
    <row r="188" spans="3:4" customFormat="1" x14ac:dyDescent="0.25">
      <c r="C188" s="60"/>
      <c r="D188" s="54"/>
    </row>
    <row r="189" spans="3:4" customFormat="1" x14ac:dyDescent="0.25">
      <c r="C189" s="60"/>
      <c r="D189" s="54"/>
    </row>
    <row r="190" spans="3:4" customFormat="1" x14ac:dyDescent="0.25">
      <c r="C190" s="60"/>
      <c r="D190" s="54"/>
    </row>
    <row r="191" spans="3:4" customFormat="1" x14ac:dyDescent="0.25">
      <c r="C191" s="60"/>
      <c r="D191" s="54"/>
    </row>
    <row r="192" spans="3:4" customFormat="1" x14ac:dyDescent="0.25">
      <c r="C192" s="60"/>
      <c r="D192" s="54"/>
    </row>
    <row r="193" spans="3:4" customFormat="1" x14ac:dyDescent="0.25">
      <c r="C193" s="60"/>
      <c r="D193" s="54"/>
    </row>
    <row r="194" spans="3:4" customFormat="1" x14ac:dyDescent="0.25">
      <c r="C194" s="60"/>
      <c r="D194" s="54"/>
    </row>
    <row r="195" spans="3:4" customFormat="1" x14ac:dyDescent="0.25">
      <c r="C195" s="60"/>
      <c r="D195" s="54"/>
    </row>
    <row r="196" spans="3:4" customFormat="1" x14ac:dyDescent="0.25">
      <c r="C196" s="60"/>
      <c r="D196" s="54"/>
    </row>
    <row r="197" spans="3:4" customFormat="1" x14ac:dyDescent="0.25">
      <c r="C197" s="60"/>
      <c r="D197" s="54"/>
    </row>
    <row r="198" spans="3:4" customFormat="1" x14ac:dyDescent="0.25">
      <c r="C198" s="60"/>
      <c r="D198" s="54"/>
    </row>
    <row r="199" spans="3:4" customFormat="1" x14ac:dyDescent="0.25">
      <c r="C199" s="60"/>
      <c r="D199" s="54"/>
    </row>
    <row r="200" spans="3:4" customFormat="1" x14ac:dyDescent="0.25">
      <c r="C200" s="60"/>
      <c r="D200" s="54"/>
    </row>
    <row r="201" spans="3:4" customFormat="1" x14ac:dyDescent="0.25">
      <c r="C201" s="60"/>
      <c r="D201" s="54"/>
    </row>
    <row r="202" spans="3:4" customFormat="1" x14ac:dyDescent="0.25">
      <c r="C202" s="60"/>
      <c r="D202" s="54"/>
    </row>
    <row r="203" spans="3:4" customFormat="1" x14ac:dyDescent="0.25">
      <c r="C203" s="60"/>
      <c r="D203" s="54"/>
    </row>
    <row r="204" spans="3:4" customFormat="1" x14ac:dyDescent="0.25">
      <c r="C204" s="60"/>
      <c r="D204" s="54"/>
    </row>
    <row r="205" spans="3:4" customFormat="1" x14ac:dyDescent="0.25">
      <c r="C205" s="60"/>
      <c r="D205" s="54"/>
    </row>
    <row r="206" spans="3:4" customFormat="1" x14ac:dyDescent="0.25">
      <c r="C206" s="60"/>
      <c r="D206" s="54"/>
    </row>
    <row r="207" spans="3:4" customFormat="1" x14ac:dyDescent="0.25">
      <c r="C207" s="60"/>
      <c r="D207" s="54"/>
    </row>
    <row r="208" spans="3:4" customFormat="1" x14ac:dyDescent="0.25">
      <c r="C208" s="60"/>
      <c r="D208" s="54"/>
    </row>
    <row r="209" spans="3:4" customFormat="1" x14ac:dyDescent="0.25">
      <c r="C209" s="60"/>
      <c r="D209" s="54"/>
    </row>
    <row r="210" spans="3:4" customFormat="1" x14ac:dyDescent="0.25">
      <c r="C210" s="60"/>
      <c r="D210" s="54"/>
    </row>
    <row r="211" spans="3:4" customFormat="1" x14ac:dyDescent="0.25">
      <c r="C211" s="60"/>
      <c r="D211" s="54"/>
    </row>
    <row r="212" spans="3:4" customFormat="1" x14ac:dyDescent="0.25">
      <c r="C212" s="60"/>
      <c r="D212" s="54"/>
    </row>
    <row r="213" spans="3:4" customFormat="1" x14ac:dyDescent="0.25">
      <c r="C213" s="60"/>
      <c r="D213" s="54"/>
    </row>
    <row r="214" spans="3:4" customFormat="1" x14ac:dyDescent="0.25">
      <c r="C214" s="60"/>
      <c r="D214" s="54"/>
    </row>
    <row r="215" spans="3:4" customFormat="1" x14ac:dyDescent="0.25">
      <c r="C215" s="60"/>
      <c r="D215" s="54"/>
    </row>
    <row r="216" spans="3:4" customFormat="1" x14ac:dyDescent="0.25">
      <c r="C216" s="60"/>
      <c r="D216" s="54"/>
    </row>
    <row r="217" spans="3:4" customFormat="1" x14ac:dyDescent="0.25">
      <c r="C217" s="60"/>
      <c r="D217" s="54"/>
    </row>
    <row r="218" spans="3:4" customFormat="1" x14ac:dyDescent="0.25">
      <c r="C218" s="60"/>
      <c r="D218" s="54"/>
    </row>
    <row r="219" spans="3:4" customFormat="1" x14ac:dyDescent="0.25">
      <c r="C219" s="60"/>
      <c r="D219" s="54"/>
    </row>
    <row r="220" spans="3:4" customFormat="1" x14ac:dyDescent="0.25">
      <c r="C220" s="60"/>
      <c r="D220" s="54"/>
    </row>
    <row r="221" spans="3:4" customFormat="1" x14ac:dyDescent="0.25">
      <c r="C221" s="60"/>
      <c r="D221" s="54"/>
    </row>
    <row r="222" spans="3:4" customFormat="1" x14ac:dyDescent="0.25">
      <c r="C222" s="60"/>
      <c r="D222" s="54"/>
    </row>
    <row r="223" spans="3:4" customFormat="1" x14ac:dyDescent="0.25">
      <c r="C223" s="60"/>
      <c r="D223" s="54"/>
    </row>
    <row r="224" spans="3:4" customFormat="1" x14ac:dyDescent="0.25">
      <c r="C224" s="60"/>
      <c r="D224" s="54"/>
    </row>
    <row r="225" spans="3:4" customFormat="1" x14ac:dyDescent="0.25">
      <c r="C225" s="60"/>
      <c r="D225" s="54"/>
    </row>
    <row r="226" spans="3:4" customFormat="1" x14ac:dyDescent="0.25">
      <c r="C226" s="60"/>
      <c r="D226" s="54"/>
    </row>
    <row r="227" spans="3:4" customFormat="1" x14ac:dyDescent="0.25">
      <c r="C227" s="60"/>
      <c r="D227" s="54"/>
    </row>
    <row r="228" spans="3:4" customFormat="1" x14ac:dyDescent="0.25">
      <c r="C228" s="60"/>
      <c r="D228" s="54"/>
    </row>
    <row r="229" spans="3:4" customFormat="1" x14ac:dyDescent="0.25">
      <c r="C229" s="60"/>
      <c r="D229" s="54"/>
    </row>
    <row r="230" spans="3:4" customFormat="1" x14ac:dyDescent="0.25">
      <c r="C230" s="60"/>
      <c r="D230" s="54"/>
    </row>
    <row r="231" spans="3:4" customFormat="1" x14ac:dyDescent="0.25">
      <c r="C231" s="60"/>
      <c r="D231" s="54"/>
    </row>
    <row r="232" spans="3:4" customFormat="1" x14ac:dyDescent="0.25">
      <c r="C232" s="60"/>
      <c r="D232" s="54"/>
    </row>
    <row r="233" spans="3:4" customFormat="1" x14ac:dyDescent="0.25">
      <c r="C233" s="60"/>
      <c r="D233" s="54"/>
    </row>
    <row r="234" spans="3:4" customFormat="1" x14ac:dyDescent="0.25">
      <c r="C234" s="60"/>
      <c r="D234" s="54"/>
    </row>
    <row r="235" spans="3:4" customFormat="1" x14ac:dyDescent="0.25">
      <c r="C235" s="60"/>
      <c r="D235" s="54"/>
    </row>
    <row r="236" spans="3:4" customFormat="1" x14ac:dyDescent="0.25">
      <c r="C236" s="60"/>
      <c r="D236" s="54"/>
    </row>
    <row r="237" spans="3:4" customFormat="1" x14ac:dyDescent="0.25">
      <c r="C237" s="60"/>
      <c r="D237" s="54"/>
    </row>
    <row r="238" spans="3:4" customFormat="1" x14ac:dyDescent="0.25">
      <c r="C238" s="60"/>
      <c r="D238" s="54"/>
    </row>
    <row r="239" spans="3:4" customFormat="1" x14ac:dyDescent="0.25">
      <c r="C239" s="60"/>
      <c r="D239" s="54"/>
    </row>
    <row r="240" spans="3:4" customFormat="1" x14ac:dyDescent="0.25">
      <c r="C240" s="60"/>
      <c r="D240" s="54"/>
    </row>
    <row r="241" spans="3:4" customFormat="1" x14ac:dyDescent="0.25">
      <c r="C241" s="60"/>
      <c r="D241" s="54"/>
    </row>
    <row r="242" spans="3:4" customFormat="1" x14ac:dyDescent="0.25">
      <c r="C242" s="60"/>
      <c r="D242" s="54"/>
    </row>
    <row r="243" spans="3:4" customFormat="1" x14ac:dyDescent="0.25">
      <c r="C243" s="60"/>
      <c r="D243" s="54"/>
    </row>
    <row r="244" spans="3:4" customFormat="1" x14ac:dyDescent="0.25">
      <c r="C244" s="60"/>
      <c r="D244" s="54"/>
    </row>
    <row r="245" spans="3:4" customFormat="1" x14ac:dyDescent="0.25">
      <c r="C245" s="60"/>
      <c r="D245" s="54"/>
    </row>
    <row r="246" spans="3:4" customFormat="1" x14ac:dyDescent="0.25">
      <c r="C246" s="60"/>
      <c r="D246" s="54"/>
    </row>
    <row r="247" spans="3:4" customFormat="1" x14ac:dyDescent="0.25">
      <c r="C247" s="60"/>
      <c r="D247" s="54"/>
    </row>
    <row r="248" spans="3:4" customFormat="1" x14ac:dyDescent="0.25">
      <c r="C248" s="60"/>
      <c r="D248" s="54"/>
    </row>
    <row r="249" spans="3:4" customFormat="1" x14ac:dyDescent="0.25">
      <c r="C249" s="60"/>
      <c r="D249" s="54"/>
    </row>
    <row r="250" spans="3:4" customFormat="1" x14ac:dyDescent="0.25">
      <c r="C250" s="60"/>
      <c r="D250" s="54"/>
    </row>
    <row r="251" spans="3:4" customFormat="1" x14ac:dyDescent="0.25">
      <c r="C251" s="60"/>
      <c r="D251" s="54"/>
    </row>
    <row r="252" spans="3:4" customFormat="1" x14ac:dyDescent="0.25">
      <c r="C252" s="60"/>
      <c r="D252" s="54"/>
    </row>
    <row r="253" spans="3:4" customFormat="1" x14ac:dyDescent="0.25">
      <c r="C253" s="60"/>
      <c r="D253" s="54"/>
    </row>
    <row r="254" spans="3:4" customFormat="1" x14ac:dyDescent="0.25">
      <c r="C254" s="60"/>
      <c r="D254" s="54"/>
    </row>
    <row r="255" spans="3:4" customFormat="1" x14ac:dyDescent="0.25">
      <c r="C255" s="60"/>
      <c r="D255" s="54"/>
    </row>
    <row r="256" spans="3:4" customFormat="1" x14ac:dyDescent="0.25">
      <c r="C256" s="60"/>
      <c r="D256" s="54"/>
    </row>
    <row r="257" spans="3:4" customFormat="1" x14ac:dyDescent="0.25">
      <c r="C257" s="60"/>
      <c r="D257" s="54"/>
    </row>
    <row r="258" spans="3:4" customFormat="1" x14ac:dyDescent="0.25">
      <c r="C258" s="60"/>
      <c r="D258" s="54"/>
    </row>
    <row r="259" spans="3:4" customFormat="1" x14ac:dyDescent="0.25">
      <c r="C259" s="60"/>
      <c r="D259" s="54"/>
    </row>
    <row r="260" spans="3:4" customFormat="1" x14ac:dyDescent="0.25">
      <c r="C260" s="60"/>
      <c r="D260" s="54"/>
    </row>
    <row r="261" spans="3:4" customFormat="1" x14ac:dyDescent="0.25">
      <c r="C261" s="60"/>
      <c r="D261" s="54"/>
    </row>
    <row r="262" spans="3:4" customFormat="1" x14ac:dyDescent="0.25">
      <c r="C262" s="60"/>
      <c r="D262" s="54"/>
    </row>
    <row r="263" spans="3:4" customFormat="1" x14ac:dyDescent="0.25">
      <c r="C263" s="60"/>
      <c r="D263" s="54"/>
    </row>
    <row r="264" spans="3:4" customFormat="1" x14ac:dyDescent="0.25">
      <c r="C264" s="60"/>
      <c r="D264" s="54"/>
    </row>
    <row r="265" spans="3:4" customFormat="1" x14ac:dyDescent="0.25">
      <c r="C265" s="60"/>
      <c r="D265" s="54"/>
    </row>
    <row r="266" spans="3:4" customFormat="1" x14ac:dyDescent="0.25">
      <c r="C266" s="60"/>
      <c r="D266" s="54"/>
    </row>
    <row r="267" spans="3:4" customFormat="1" x14ac:dyDescent="0.25">
      <c r="C267" s="60"/>
      <c r="D267" s="54"/>
    </row>
    <row r="268" spans="3:4" customFormat="1" x14ac:dyDescent="0.25">
      <c r="C268" s="60"/>
      <c r="D268" s="54"/>
    </row>
    <row r="269" spans="3:4" customFormat="1" x14ac:dyDescent="0.25">
      <c r="C269" s="60"/>
      <c r="D269" s="54"/>
    </row>
    <row r="270" spans="3:4" customFormat="1" x14ac:dyDescent="0.25">
      <c r="C270" s="60"/>
      <c r="D270" s="54"/>
    </row>
    <row r="271" spans="3:4" customFormat="1" x14ac:dyDescent="0.25">
      <c r="C271" s="60"/>
      <c r="D271" s="54"/>
    </row>
    <row r="272" spans="3:4" customFormat="1" x14ac:dyDescent="0.25">
      <c r="C272" s="60"/>
      <c r="D272" s="54"/>
    </row>
    <row r="273" spans="3:4" customFormat="1" x14ac:dyDescent="0.25">
      <c r="C273" s="60"/>
      <c r="D273" s="54"/>
    </row>
    <row r="274" spans="3:4" customFormat="1" x14ac:dyDescent="0.25">
      <c r="C274" s="60"/>
      <c r="D274" s="54"/>
    </row>
    <row r="275" spans="3:4" customFormat="1" x14ac:dyDescent="0.25">
      <c r="C275" s="60"/>
      <c r="D275" s="54"/>
    </row>
    <row r="276" spans="3:4" customFormat="1" x14ac:dyDescent="0.25">
      <c r="C276" s="60"/>
      <c r="D276" s="54"/>
    </row>
    <row r="277" spans="3:4" customFormat="1" x14ac:dyDescent="0.25">
      <c r="C277" s="60"/>
      <c r="D277" s="54"/>
    </row>
    <row r="278" spans="3:4" customFormat="1" x14ac:dyDescent="0.25">
      <c r="C278" s="60"/>
      <c r="D278" s="54"/>
    </row>
    <row r="279" spans="3:4" customFormat="1" x14ac:dyDescent="0.25">
      <c r="C279" s="60"/>
      <c r="D279" s="54"/>
    </row>
    <row r="280" spans="3:4" customFormat="1" x14ac:dyDescent="0.25">
      <c r="C280" s="60"/>
      <c r="D280" s="54"/>
    </row>
    <row r="281" spans="3:4" customFormat="1" x14ac:dyDescent="0.25">
      <c r="C281" s="60"/>
      <c r="D281" s="54"/>
    </row>
    <row r="282" spans="3:4" customFormat="1" x14ac:dyDescent="0.25">
      <c r="C282" s="60"/>
      <c r="D282" s="54"/>
    </row>
    <row r="283" spans="3:4" customFormat="1" x14ac:dyDescent="0.25">
      <c r="C283" s="60"/>
      <c r="D283" s="54"/>
    </row>
    <row r="284" spans="3:4" customFormat="1" x14ac:dyDescent="0.25">
      <c r="C284" s="60"/>
      <c r="D284" s="54"/>
    </row>
    <row r="285" spans="3:4" customFormat="1" x14ac:dyDescent="0.25">
      <c r="C285" s="60"/>
      <c r="D285" s="54"/>
    </row>
    <row r="286" spans="3:4" customFormat="1" x14ac:dyDescent="0.25">
      <c r="C286" s="60"/>
      <c r="D286" s="54"/>
    </row>
    <row r="287" spans="3:4" customFormat="1" x14ac:dyDescent="0.25">
      <c r="C287" s="60"/>
      <c r="D287" s="54"/>
    </row>
    <row r="288" spans="3:4" customFormat="1" x14ac:dyDescent="0.25">
      <c r="C288" s="60"/>
      <c r="D288" s="54"/>
    </row>
    <row r="289" spans="3:4" customFormat="1" x14ac:dyDescent="0.25">
      <c r="C289" s="60"/>
      <c r="D289" s="54"/>
    </row>
    <row r="290" spans="3:4" customFormat="1" x14ac:dyDescent="0.25">
      <c r="C290" s="60"/>
      <c r="D290" s="54"/>
    </row>
    <row r="291" spans="3:4" customFormat="1" x14ac:dyDescent="0.25">
      <c r="C291" s="60"/>
      <c r="D291" s="54"/>
    </row>
    <row r="292" spans="3:4" customFormat="1" x14ac:dyDescent="0.25">
      <c r="C292" s="60"/>
      <c r="D292" s="54"/>
    </row>
    <row r="293" spans="3:4" customFormat="1" x14ac:dyDescent="0.25">
      <c r="C293" s="60"/>
      <c r="D293" s="54"/>
    </row>
    <row r="294" spans="3:4" customFormat="1" x14ac:dyDescent="0.25">
      <c r="C294" s="60"/>
      <c r="D294" s="54"/>
    </row>
    <row r="295" spans="3:4" customFormat="1" x14ac:dyDescent="0.25">
      <c r="C295" s="60"/>
      <c r="D295" s="54"/>
    </row>
    <row r="296" spans="3:4" customFormat="1" x14ac:dyDescent="0.25">
      <c r="C296" s="60"/>
      <c r="D296" s="54"/>
    </row>
    <row r="297" spans="3:4" customFormat="1" x14ac:dyDescent="0.25">
      <c r="C297" s="60"/>
      <c r="D297" s="54"/>
    </row>
    <row r="298" spans="3:4" customFormat="1" x14ac:dyDescent="0.25">
      <c r="C298" s="60"/>
      <c r="D298" s="54"/>
    </row>
    <row r="299" spans="3:4" customFormat="1" x14ac:dyDescent="0.25">
      <c r="C299" s="60"/>
      <c r="D299" s="54"/>
    </row>
    <row r="300" spans="3:4" customFormat="1" x14ac:dyDescent="0.25">
      <c r="C300" s="60"/>
      <c r="D300" s="54"/>
    </row>
    <row r="301" spans="3:4" customFormat="1" x14ac:dyDescent="0.25">
      <c r="C301" s="60"/>
      <c r="D301" s="54"/>
    </row>
    <row r="302" spans="3:4" customFormat="1" x14ac:dyDescent="0.25">
      <c r="C302" s="60"/>
      <c r="D302" s="54"/>
    </row>
    <row r="303" spans="3:4" customFormat="1" x14ac:dyDescent="0.25">
      <c r="C303" s="60"/>
      <c r="D303" s="54"/>
    </row>
    <row r="304" spans="3:4" customFormat="1" x14ac:dyDescent="0.25">
      <c r="C304" s="60"/>
      <c r="D304" s="54"/>
    </row>
    <row r="305" spans="3:4" customFormat="1" x14ac:dyDescent="0.25">
      <c r="C305" s="60"/>
      <c r="D305" s="54"/>
    </row>
    <row r="306" spans="3:4" customFormat="1" x14ac:dyDescent="0.25">
      <c r="C306" s="60"/>
      <c r="D306" s="54"/>
    </row>
    <row r="307" spans="3:4" customFormat="1" x14ac:dyDescent="0.25">
      <c r="C307" s="60"/>
      <c r="D307" s="54"/>
    </row>
    <row r="308" spans="3:4" customFormat="1" x14ac:dyDescent="0.25">
      <c r="C308" s="60"/>
      <c r="D308" s="54"/>
    </row>
    <row r="309" spans="3:4" customFormat="1" x14ac:dyDescent="0.25">
      <c r="C309" s="60"/>
      <c r="D309" s="54"/>
    </row>
    <row r="310" spans="3:4" customFormat="1" x14ac:dyDescent="0.25">
      <c r="C310" s="60"/>
      <c r="D310" s="54"/>
    </row>
    <row r="311" spans="3:4" customFormat="1" x14ac:dyDescent="0.25">
      <c r="C311" s="60"/>
      <c r="D311" s="54"/>
    </row>
    <row r="312" spans="3:4" customFormat="1" x14ac:dyDescent="0.25">
      <c r="C312" s="60"/>
      <c r="D312" s="54"/>
    </row>
    <row r="313" spans="3:4" customFormat="1" x14ac:dyDescent="0.25">
      <c r="C313" s="60"/>
      <c r="D313" s="54"/>
    </row>
    <row r="314" spans="3:4" customFormat="1" x14ac:dyDescent="0.25">
      <c r="C314" s="60"/>
      <c r="D314" s="54"/>
    </row>
    <row r="315" spans="3:4" customFormat="1" x14ac:dyDescent="0.25">
      <c r="C315" s="60"/>
      <c r="D315" s="54"/>
    </row>
    <row r="316" spans="3:4" customFormat="1" x14ac:dyDescent="0.25">
      <c r="C316" s="60"/>
      <c r="D316" s="54"/>
    </row>
    <row r="317" spans="3:4" customFormat="1" x14ac:dyDescent="0.25">
      <c r="C317" s="60"/>
      <c r="D317" s="54"/>
    </row>
    <row r="318" spans="3:4" customFormat="1" x14ac:dyDescent="0.25">
      <c r="C318" s="60"/>
      <c r="D318" s="54"/>
    </row>
    <row r="319" spans="3:4" customFormat="1" x14ac:dyDescent="0.25">
      <c r="C319" s="60"/>
      <c r="D319" s="54"/>
    </row>
    <row r="320" spans="3:4" customFormat="1" x14ac:dyDescent="0.25">
      <c r="C320" s="60"/>
      <c r="D320" s="54"/>
    </row>
    <row r="321" spans="3:4" customFormat="1" x14ac:dyDescent="0.25">
      <c r="C321" s="60"/>
      <c r="D321" s="54"/>
    </row>
    <row r="322" spans="3:4" customFormat="1" x14ac:dyDescent="0.25">
      <c r="C322" s="60"/>
      <c r="D322" s="54"/>
    </row>
    <row r="323" spans="3:4" customFormat="1" x14ac:dyDescent="0.25">
      <c r="C323" s="60"/>
      <c r="D323" s="54"/>
    </row>
    <row r="324" spans="3:4" customFormat="1" x14ac:dyDescent="0.25">
      <c r="C324" s="60"/>
      <c r="D324" s="54"/>
    </row>
    <row r="325" spans="3:4" customFormat="1" x14ac:dyDescent="0.25">
      <c r="C325" s="60"/>
      <c r="D325" s="54"/>
    </row>
    <row r="326" spans="3:4" customFormat="1" x14ac:dyDescent="0.25">
      <c r="C326" s="60"/>
      <c r="D326" s="54"/>
    </row>
    <row r="327" spans="3:4" customFormat="1" x14ac:dyDescent="0.25">
      <c r="C327" s="60"/>
      <c r="D327" s="54"/>
    </row>
    <row r="328" spans="3:4" customFormat="1" x14ac:dyDescent="0.25">
      <c r="C328" s="60"/>
      <c r="D328" s="54"/>
    </row>
    <row r="329" spans="3:4" customFormat="1" x14ac:dyDescent="0.25">
      <c r="C329" s="60"/>
      <c r="D329" s="54"/>
    </row>
    <row r="330" spans="3:4" customFormat="1" x14ac:dyDescent="0.25">
      <c r="C330" s="60"/>
      <c r="D330" s="54"/>
    </row>
    <row r="331" spans="3:4" customFormat="1" x14ac:dyDescent="0.25">
      <c r="C331" s="60"/>
      <c r="D331" s="54"/>
    </row>
    <row r="332" spans="3:4" customFormat="1" x14ac:dyDescent="0.25">
      <c r="C332" s="60"/>
      <c r="D332" s="54"/>
    </row>
    <row r="333" spans="3:4" customFormat="1" x14ac:dyDescent="0.25">
      <c r="C333" s="60"/>
      <c r="D333" s="54"/>
    </row>
    <row r="334" spans="3:4" customFormat="1" x14ac:dyDescent="0.25">
      <c r="C334" s="60"/>
      <c r="D334" s="54"/>
    </row>
    <row r="335" spans="3:4" customFormat="1" x14ac:dyDescent="0.25">
      <c r="C335" s="60"/>
      <c r="D335" s="54"/>
    </row>
    <row r="336" spans="3:4" customFormat="1" x14ac:dyDescent="0.25">
      <c r="C336" s="60"/>
      <c r="D336" s="54"/>
    </row>
    <row r="337" spans="3:4" customFormat="1" x14ac:dyDescent="0.25">
      <c r="C337" s="60"/>
      <c r="D337" s="54"/>
    </row>
    <row r="338" spans="3:4" customFormat="1" x14ac:dyDescent="0.25">
      <c r="C338" s="60"/>
      <c r="D338" s="54"/>
    </row>
    <row r="339" spans="3:4" customFormat="1" x14ac:dyDescent="0.25">
      <c r="C339" s="60"/>
      <c r="D339" s="54"/>
    </row>
    <row r="340" spans="3:4" customFormat="1" x14ac:dyDescent="0.25">
      <c r="C340" s="60"/>
      <c r="D340" s="54"/>
    </row>
    <row r="341" spans="3:4" customFormat="1" x14ac:dyDescent="0.25">
      <c r="C341" s="60"/>
      <c r="D341" s="54"/>
    </row>
    <row r="342" spans="3:4" customFormat="1" x14ac:dyDescent="0.25">
      <c r="C342" s="60"/>
      <c r="D342" s="54"/>
    </row>
    <row r="343" spans="3:4" customFormat="1" x14ac:dyDescent="0.25">
      <c r="C343" s="60"/>
      <c r="D343" s="54"/>
    </row>
    <row r="344" spans="3:4" customFormat="1" x14ac:dyDescent="0.25">
      <c r="C344" s="60"/>
      <c r="D344" s="54"/>
    </row>
    <row r="345" spans="3:4" customFormat="1" x14ac:dyDescent="0.25">
      <c r="C345" s="60"/>
      <c r="D345" s="54"/>
    </row>
    <row r="346" spans="3:4" customFormat="1" x14ac:dyDescent="0.25">
      <c r="C346" s="60"/>
      <c r="D346" s="54"/>
    </row>
    <row r="347" spans="3:4" customFormat="1" x14ac:dyDescent="0.25">
      <c r="C347" s="60"/>
      <c r="D347" s="54"/>
    </row>
    <row r="348" spans="3:4" customFormat="1" x14ac:dyDescent="0.25">
      <c r="C348" s="60"/>
      <c r="D348" s="54"/>
    </row>
    <row r="349" spans="3:4" customFormat="1" x14ac:dyDescent="0.25">
      <c r="C349" s="60"/>
      <c r="D349" s="54"/>
    </row>
    <row r="350" spans="3:4" customFormat="1" x14ac:dyDescent="0.25">
      <c r="C350" s="60"/>
      <c r="D350" s="54"/>
    </row>
    <row r="351" spans="3:4" customFormat="1" x14ac:dyDescent="0.25">
      <c r="C351" s="60"/>
      <c r="D351" s="54"/>
    </row>
    <row r="352" spans="3:4" customFormat="1" x14ac:dyDescent="0.25">
      <c r="C352" s="60"/>
      <c r="D352" s="54"/>
    </row>
    <row r="353" spans="3:4" customFormat="1" x14ac:dyDescent="0.25">
      <c r="C353" s="60"/>
      <c r="D353" s="54"/>
    </row>
    <row r="354" spans="3:4" customFormat="1" x14ac:dyDescent="0.25">
      <c r="C354" s="60"/>
      <c r="D354" s="54"/>
    </row>
    <row r="355" spans="3:4" customFormat="1" x14ac:dyDescent="0.25">
      <c r="C355" s="60"/>
      <c r="D355" s="54"/>
    </row>
    <row r="356" spans="3:4" customFormat="1" x14ac:dyDescent="0.25">
      <c r="C356" s="60"/>
      <c r="D356" s="54"/>
    </row>
    <row r="357" spans="3:4" customFormat="1" x14ac:dyDescent="0.25">
      <c r="C357" s="60"/>
      <c r="D357" s="54"/>
    </row>
  </sheetData>
  <pageMargins left="0.7" right="0.7" top="0.75" bottom="0.75" header="0.3" footer="0.3"/>
  <ignoredErrors>
    <ignoredError sqref="F2:F10 D10:D13 F11:F13" calculatedColumn="1"/>
  </ignoredErrors>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D6BD9-5EA4-4378-A65F-184191BE3164}">
  <dimension ref="A1:J11"/>
  <sheetViews>
    <sheetView zoomScale="130" zoomScaleNormal="130" workbookViewId="0">
      <selection activeCell="I10" sqref="I10"/>
    </sheetView>
  </sheetViews>
  <sheetFormatPr defaultRowHeight="15" x14ac:dyDescent="0.25"/>
  <cols>
    <col min="1" max="1" width="16.7109375" style="47" customWidth="1"/>
    <col min="2" max="2" width="10.28515625" customWidth="1"/>
    <col min="3" max="3" width="11.42578125" bestFit="1" customWidth="1"/>
    <col min="4" max="4" width="14.7109375" bestFit="1" customWidth="1"/>
    <col min="5" max="5" width="12.7109375" bestFit="1" customWidth="1"/>
    <col min="6" max="6" width="12.140625" bestFit="1" customWidth="1"/>
    <col min="7" max="7" width="10.85546875" bestFit="1" customWidth="1"/>
    <col min="8" max="8" width="14.5703125" customWidth="1"/>
    <col min="9" max="9" width="11.140625" bestFit="1" customWidth="1"/>
    <col min="10" max="10" width="16.7109375" bestFit="1" customWidth="1"/>
  </cols>
  <sheetData>
    <row r="1" spans="1:10" s="47" customFormat="1" ht="45" x14ac:dyDescent="0.25">
      <c r="A1" s="67" t="s">
        <v>162</v>
      </c>
      <c r="B1" s="67" t="s">
        <v>163</v>
      </c>
      <c r="C1" s="67" t="s">
        <v>164</v>
      </c>
      <c r="D1" s="67" t="s">
        <v>165</v>
      </c>
      <c r="E1" s="67" t="s">
        <v>166</v>
      </c>
      <c r="F1" s="67" t="s">
        <v>167</v>
      </c>
      <c r="G1" s="67" t="s">
        <v>168</v>
      </c>
      <c r="H1" s="67" t="s">
        <v>169</v>
      </c>
      <c r="I1" s="67" t="s">
        <v>170</v>
      </c>
      <c r="J1" s="67" t="s">
        <v>171</v>
      </c>
    </row>
    <row r="2" spans="1:10" ht="45" x14ac:dyDescent="0.25">
      <c r="A2" s="67" t="s">
        <v>172</v>
      </c>
      <c r="B2" s="68" t="s">
        <v>173</v>
      </c>
      <c r="C2" s="68" t="s">
        <v>174</v>
      </c>
      <c r="D2" s="68" t="s">
        <v>175</v>
      </c>
      <c r="E2" s="68" t="s">
        <v>175</v>
      </c>
      <c r="F2" s="68" t="s">
        <v>175</v>
      </c>
      <c r="G2" s="68" t="s">
        <v>175</v>
      </c>
      <c r="H2" s="68" t="s">
        <v>175</v>
      </c>
      <c r="I2" s="68" t="s">
        <v>175</v>
      </c>
      <c r="J2" s="68" t="s">
        <v>176</v>
      </c>
    </row>
    <row r="3" spans="1:10" ht="45" x14ac:dyDescent="0.25">
      <c r="A3" s="67" t="s">
        <v>177</v>
      </c>
      <c r="B3" s="68" t="s">
        <v>176</v>
      </c>
      <c r="C3" s="68" t="s">
        <v>173</v>
      </c>
      <c r="D3" s="68" t="s">
        <v>175</v>
      </c>
      <c r="E3" s="68" t="s">
        <v>176</v>
      </c>
      <c r="F3" s="68" t="s">
        <v>176</v>
      </c>
      <c r="G3" s="68" t="s">
        <v>174</v>
      </c>
      <c r="H3" s="68" t="s">
        <v>175</v>
      </c>
      <c r="I3" s="68" t="s">
        <v>175</v>
      </c>
      <c r="J3" s="68" t="s">
        <v>176</v>
      </c>
    </row>
    <row r="4" spans="1:10" ht="30" x14ac:dyDescent="0.25">
      <c r="A4" s="67" t="s">
        <v>178</v>
      </c>
      <c r="B4" s="68" t="s">
        <v>173</v>
      </c>
      <c r="C4" s="68" t="s">
        <v>175</v>
      </c>
      <c r="D4" s="68" t="s">
        <v>176</v>
      </c>
      <c r="E4" s="68" t="s">
        <v>175</v>
      </c>
      <c r="F4" s="68" t="s">
        <v>174</v>
      </c>
      <c r="G4" s="68" t="s">
        <v>174</v>
      </c>
      <c r="H4" s="68" t="s">
        <v>176</v>
      </c>
      <c r="I4" s="68" t="s">
        <v>176</v>
      </c>
      <c r="J4" s="68" t="s">
        <v>176</v>
      </c>
    </row>
    <row r="5" spans="1:10" ht="30" x14ac:dyDescent="0.25">
      <c r="A5" s="67" t="s">
        <v>179</v>
      </c>
      <c r="B5" s="68" t="s">
        <v>173</v>
      </c>
      <c r="C5" s="68" t="s">
        <v>175</v>
      </c>
      <c r="D5" s="68" t="s">
        <v>176</v>
      </c>
      <c r="E5" s="68" t="s">
        <v>174</v>
      </c>
      <c r="F5" s="68" t="s">
        <v>175</v>
      </c>
      <c r="G5" s="68" t="s">
        <v>175</v>
      </c>
      <c r="H5" s="68" t="s">
        <v>176</v>
      </c>
      <c r="I5" s="68" t="s">
        <v>176</v>
      </c>
      <c r="J5" s="68" t="s">
        <v>176</v>
      </c>
    </row>
    <row r="6" spans="1:10" ht="30" x14ac:dyDescent="0.25">
      <c r="A6" s="67" t="s">
        <v>180</v>
      </c>
      <c r="B6" s="68" t="s">
        <v>173</v>
      </c>
      <c r="C6" s="68" t="s">
        <v>175</v>
      </c>
      <c r="D6" s="68" t="s">
        <v>176</v>
      </c>
      <c r="E6" s="68" t="s">
        <v>175</v>
      </c>
      <c r="F6" s="68" t="s">
        <v>174</v>
      </c>
      <c r="G6" s="68" t="s">
        <v>174</v>
      </c>
      <c r="H6" s="68" t="s">
        <v>176</v>
      </c>
      <c r="I6" s="68" t="s">
        <v>176</v>
      </c>
      <c r="J6" s="68" t="s">
        <v>176</v>
      </c>
    </row>
    <row r="7" spans="1:10" ht="45" x14ac:dyDescent="0.25">
      <c r="A7" s="67" t="s">
        <v>185</v>
      </c>
      <c r="B7" s="68" t="s">
        <v>173</v>
      </c>
      <c r="C7" s="68" t="s">
        <v>175</v>
      </c>
      <c r="D7" s="68" t="s">
        <v>176</v>
      </c>
      <c r="E7" s="68" t="s">
        <v>175</v>
      </c>
      <c r="F7" s="68" t="s">
        <v>174</v>
      </c>
      <c r="G7" s="68" t="s">
        <v>174</v>
      </c>
      <c r="H7" s="68" t="s">
        <v>176</v>
      </c>
      <c r="I7" s="68" t="s">
        <v>176</v>
      </c>
      <c r="J7" s="68" t="s">
        <v>176</v>
      </c>
    </row>
    <row r="8" spans="1:10" ht="30" x14ac:dyDescent="0.25">
      <c r="A8" s="67" t="s">
        <v>181</v>
      </c>
      <c r="B8" s="68" t="s">
        <v>173</v>
      </c>
      <c r="C8" s="68" t="s">
        <v>175</v>
      </c>
      <c r="D8" s="68" t="s">
        <v>176</v>
      </c>
      <c r="E8" s="68" t="s">
        <v>175</v>
      </c>
      <c r="F8" s="68" t="s">
        <v>175</v>
      </c>
      <c r="G8" s="68" t="s">
        <v>175</v>
      </c>
      <c r="H8" s="68" t="s">
        <v>174</v>
      </c>
      <c r="I8" s="68" t="s">
        <v>176</v>
      </c>
      <c r="J8" s="68" t="s">
        <v>176</v>
      </c>
    </row>
    <row r="9" spans="1:10" ht="30" x14ac:dyDescent="0.25">
      <c r="A9" s="67" t="s">
        <v>182</v>
      </c>
      <c r="B9" s="68" t="s">
        <v>173</v>
      </c>
      <c r="C9" s="68" t="s">
        <v>175</v>
      </c>
      <c r="D9" s="68" t="s">
        <v>175</v>
      </c>
      <c r="E9" s="68" t="s">
        <v>175</v>
      </c>
      <c r="F9" s="68" t="s">
        <v>175</v>
      </c>
      <c r="G9" s="68" t="s">
        <v>175</v>
      </c>
      <c r="H9" s="68" t="s">
        <v>176</v>
      </c>
      <c r="I9" s="68" t="s">
        <v>174</v>
      </c>
      <c r="J9" s="68" t="s">
        <v>176</v>
      </c>
    </row>
    <row r="10" spans="1:10" ht="30" x14ac:dyDescent="0.25">
      <c r="A10" s="67" t="s">
        <v>183</v>
      </c>
      <c r="B10" s="68" t="s">
        <v>176</v>
      </c>
      <c r="C10" s="68" t="s">
        <v>175</v>
      </c>
      <c r="D10" s="68" t="s">
        <v>173</v>
      </c>
      <c r="E10" s="68" t="s">
        <v>176</v>
      </c>
      <c r="F10" s="68" t="s">
        <v>174</v>
      </c>
      <c r="G10" s="68" t="s">
        <v>174</v>
      </c>
      <c r="H10" s="68" t="s">
        <v>176</v>
      </c>
      <c r="I10" s="68" t="s">
        <v>175</v>
      </c>
      <c r="J10" s="68" t="s">
        <v>176</v>
      </c>
    </row>
    <row r="11" spans="1:10" ht="30" x14ac:dyDescent="0.25">
      <c r="A11" s="67" t="s">
        <v>184</v>
      </c>
      <c r="B11" s="68" t="s">
        <v>173</v>
      </c>
      <c r="C11" s="68" t="s">
        <v>176</v>
      </c>
      <c r="D11" s="68" t="s">
        <v>176</v>
      </c>
      <c r="E11" s="68" t="s">
        <v>175</v>
      </c>
      <c r="F11" s="68" t="s">
        <v>175</v>
      </c>
      <c r="G11" s="68" t="s">
        <v>175</v>
      </c>
      <c r="H11" s="68" t="s">
        <v>175</v>
      </c>
      <c r="I11" s="68" t="s">
        <v>175</v>
      </c>
      <c r="J11" s="68" t="s">
        <v>174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Risk Register</vt:lpstr>
      <vt:lpstr>Roles and Resources</vt:lpstr>
      <vt:lpstr>Resource and Cost Plan</vt:lpstr>
      <vt:lpstr>RACI 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Antony Hoang</dc:creator>
  <cp:lastModifiedBy>Antony Hoang</cp:lastModifiedBy>
  <dcterms:created xsi:type="dcterms:W3CDTF">2026-10-01T17:06:21Z</dcterms:created>
  <dcterms:modified xsi:type="dcterms:W3CDTF">2026-10-09T04:42:42Z</dcterms:modified>
</cp:coreProperties>
</file>